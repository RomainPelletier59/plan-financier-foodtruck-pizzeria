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fc4a07ad2b146d/Bureau/PIZZA/"/>
    </mc:Choice>
  </mc:AlternateContent>
  <xr:revisionPtr revIDLastSave="1358" documentId="8_{868C321A-3423-4CF4-BF45-373D18FDCA6E}" xr6:coauthVersionLast="47" xr6:coauthVersionMax="47" xr10:uidLastSave="{DD0BB415-B9D2-4ABD-9690-B4FE04C891D0}"/>
  <bookViews>
    <workbookView xWindow="-108" yWindow="-108" windowWidth="23256" windowHeight="12576" xr2:uid="{30BB6365-64BC-4205-A984-9000E6E5D5EF}"/>
  </bookViews>
  <sheets>
    <sheet name="Paramètres" sheetId="1" r:id="rId1"/>
    <sheet name="Trésorerie année 1" sheetId="2" r:id="rId2"/>
    <sheet name="Trésorerie année 2" sheetId="12" r:id="rId3"/>
    <sheet name="Trésorerie année 3" sheetId="13" r:id="rId4"/>
    <sheet name="CR pluriannuel " sheetId="6" r:id="rId5"/>
    <sheet name="Bilan année 1" sheetId="9" r:id="rId6"/>
    <sheet name="Bilan année 2" sheetId="14" r:id="rId7"/>
    <sheet name="Bilan année 3" sheetId="15" r:id="rId8"/>
    <sheet name="Plan de financement initial" sheetId="7" r:id="rId9"/>
    <sheet name="Emprunt" sheetId="11" r:id="rId10"/>
    <sheet name="Seuil de rentabilité AN1" sheetId="3" r:id="rId11"/>
    <sheet name="Seuil de rentabilité AN2" sheetId="16" r:id="rId12"/>
    <sheet name="Seuil de rentabilité AN3" sheetId="17" r:id="rId13"/>
    <sheet name="Liste matériel pizza FT" sheetId="10" r:id="rId14"/>
    <sheet name="Feuil7" sheetId="18" state="hidden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7" i="13" l="1"/>
  <c r="B37" i="12"/>
  <c r="I31" i="14"/>
  <c r="I31" i="9"/>
  <c r="E10" i="6"/>
  <c r="D10" i="6"/>
  <c r="D11" i="6"/>
  <c r="E11" i="6"/>
  <c r="E3" i="1" l="1"/>
  <c r="I6" i="13" s="1"/>
  <c r="A4" i="18"/>
  <c r="A3" i="18"/>
  <c r="C1" i="3"/>
  <c r="C1" i="16"/>
  <c r="F13" i="16" a="1"/>
  <c r="F13" i="16" s="1"/>
  <c r="D13" i="16" a="1"/>
  <c r="D13" i="16" s="1"/>
  <c r="D3" i="16"/>
  <c r="C5" i="16"/>
  <c r="C7" i="16" s="1"/>
  <c r="C8" i="16" s="1"/>
  <c r="C4" i="16"/>
  <c r="C3" i="16"/>
  <c r="E10" i="1"/>
  <c r="D10" i="1"/>
  <c r="H23" i="12"/>
  <c r="E11" i="1"/>
  <c r="D11" i="1"/>
  <c r="D8" i="1"/>
  <c r="C33" i="13"/>
  <c r="D33" i="13"/>
  <c r="D34" i="13" s="1"/>
  <c r="E33" i="13"/>
  <c r="F33" i="13"/>
  <c r="F34" i="13" s="1"/>
  <c r="G33" i="13"/>
  <c r="H33" i="13"/>
  <c r="I33" i="13"/>
  <c r="I34" i="13" s="1"/>
  <c r="J33" i="13"/>
  <c r="K33" i="13"/>
  <c r="L33" i="13"/>
  <c r="L34" i="13" s="1"/>
  <c r="M33" i="13"/>
  <c r="B33" i="13"/>
  <c r="B34" i="13" s="1"/>
  <c r="J34" i="13"/>
  <c r="I23" i="15"/>
  <c r="E17" i="15"/>
  <c r="E16" i="15"/>
  <c r="E12" i="15"/>
  <c r="E8" i="15"/>
  <c r="E173" i="6"/>
  <c r="D173" i="6"/>
  <c r="I23" i="14"/>
  <c r="E17" i="14"/>
  <c r="E16" i="14"/>
  <c r="E12" i="14"/>
  <c r="E8" i="14"/>
  <c r="F151" i="6"/>
  <c r="E151" i="6"/>
  <c r="E150" i="6" s="1"/>
  <c r="E149" i="6" s="1"/>
  <c r="D151" i="6"/>
  <c r="F134" i="6"/>
  <c r="E134" i="6"/>
  <c r="E133" i="6"/>
  <c r="E128" i="6"/>
  <c r="F95" i="6"/>
  <c r="E95" i="6"/>
  <c r="F94" i="6"/>
  <c r="E94" i="6"/>
  <c r="E92" i="6" s="1"/>
  <c r="E81" i="6"/>
  <c r="E77" i="6"/>
  <c r="F73" i="6"/>
  <c r="E73" i="6"/>
  <c r="F59" i="6"/>
  <c r="F58" i="6"/>
  <c r="E59" i="6"/>
  <c r="E58" i="6"/>
  <c r="E61" i="6"/>
  <c r="E72" i="6"/>
  <c r="E68" i="6" s="1"/>
  <c r="E83" i="6"/>
  <c r="E87" i="6"/>
  <c r="E96" i="6"/>
  <c r="E101" i="6"/>
  <c r="E107" i="6"/>
  <c r="E127" i="6"/>
  <c r="E144" i="6"/>
  <c r="E142" i="6" s="1"/>
  <c r="E160" i="6"/>
  <c r="E161" i="6"/>
  <c r="E166" i="6"/>
  <c r="E176" i="6"/>
  <c r="F57" i="6"/>
  <c r="E57" i="6"/>
  <c r="F54" i="6"/>
  <c r="F53" i="6"/>
  <c r="E54" i="6"/>
  <c r="E53" i="6"/>
  <c r="F48" i="6"/>
  <c r="E48" i="6"/>
  <c r="E33" i="6"/>
  <c r="C33" i="12"/>
  <c r="C34" i="12" s="1"/>
  <c r="D33" i="12"/>
  <c r="D34" i="12" s="1"/>
  <c r="E33" i="12"/>
  <c r="F33" i="12"/>
  <c r="G33" i="12"/>
  <c r="H33" i="12"/>
  <c r="I33" i="12"/>
  <c r="I34" i="12" s="1"/>
  <c r="J33" i="12"/>
  <c r="K33" i="12"/>
  <c r="K34" i="12" s="1"/>
  <c r="L33" i="12"/>
  <c r="L34" i="12" s="1"/>
  <c r="M33" i="12"/>
  <c r="B33" i="12"/>
  <c r="B34" i="12" s="1"/>
  <c r="E34" i="12"/>
  <c r="F34" i="12"/>
  <c r="G34" i="12"/>
  <c r="H34" i="12"/>
  <c r="J34" i="12"/>
  <c r="M34" i="12"/>
  <c r="K47" i="2"/>
  <c r="B48" i="12"/>
  <c r="E23" i="12"/>
  <c r="F23" i="12"/>
  <c r="G23" i="12"/>
  <c r="M23" i="12"/>
  <c r="B23" i="12"/>
  <c r="E20" i="12"/>
  <c r="F20" i="12"/>
  <c r="G20" i="12"/>
  <c r="J20" i="12"/>
  <c r="M20" i="12"/>
  <c r="B20" i="12"/>
  <c r="C19" i="12"/>
  <c r="D19" i="12"/>
  <c r="E19" i="12"/>
  <c r="F19" i="12"/>
  <c r="G19" i="12"/>
  <c r="H19" i="12"/>
  <c r="I19" i="12"/>
  <c r="J19" i="12"/>
  <c r="K19" i="12"/>
  <c r="L19" i="12"/>
  <c r="M19" i="12"/>
  <c r="B19" i="12"/>
  <c r="C8" i="12"/>
  <c r="C21" i="12" s="1"/>
  <c r="D8" i="12"/>
  <c r="D21" i="12" s="1"/>
  <c r="E8" i="12"/>
  <c r="E21" i="12" s="1"/>
  <c r="F8" i="12"/>
  <c r="F21" i="12" s="1"/>
  <c r="G8" i="12"/>
  <c r="G21" i="12" s="1"/>
  <c r="H8" i="12"/>
  <c r="H21" i="12" s="1"/>
  <c r="I8" i="12"/>
  <c r="I21" i="12" s="1"/>
  <c r="J8" i="12"/>
  <c r="J21" i="12" s="1"/>
  <c r="K8" i="12"/>
  <c r="K21" i="12" s="1"/>
  <c r="L8" i="12"/>
  <c r="L21" i="12" s="1"/>
  <c r="M8" i="12"/>
  <c r="M21" i="12" s="1"/>
  <c r="B8" i="12"/>
  <c r="B21" i="12" s="1"/>
  <c r="C7" i="12"/>
  <c r="C18" i="12" s="1"/>
  <c r="D7" i="12"/>
  <c r="D18" i="12" s="1"/>
  <c r="E7" i="12"/>
  <c r="E18" i="12" s="1"/>
  <c r="F7" i="12"/>
  <c r="F18" i="12" s="1"/>
  <c r="G7" i="12"/>
  <c r="G18" i="12" s="1"/>
  <c r="H7" i="12"/>
  <c r="H18" i="12" s="1"/>
  <c r="I7" i="12"/>
  <c r="I18" i="12" s="1"/>
  <c r="J7" i="12"/>
  <c r="J18" i="12" s="1"/>
  <c r="K7" i="12"/>
  <c r="K18" i="12" s="1"/>
  <c r="L7" i="12"/>
  <c r="L18" i="12" s="1"/>
  <c r="M7" i="12"/>
  <c r="M18" i="12" s="1"/>
  <c r="B7" i="12"/>
  <c r="B18" i="12" s="1"/>
  <c r="C6" i="12"/>
  <c r="D6" i="12"/>
  <c r="E6" i="12"/>
  <c r="F6" i="12"/>
  <c r="G6" i="12"/>
  <c r="H6" i="12"/>
  <c r="I6" i="12"/>
  <c r="J6" i="12"/>
  <c r="K6" i="12"/>
  <c r="L6" i="12"/>
  <c r="M6" i="12"/>
  <c r="B6" i="12"/>
  <c r="B1" i="12"/>
  <c r="E8" i="1"/>
  <c r="E7" i="1"/>
  <c r="D7" i="1"/>
  <c r="E4" i="1"/>
  <c r="D4" i="1"/>
  <c r="D3" i="1"/>
  <c r="E12" i="1"/>
  <c r="D12" i="1"/>
  <c r="D20" i="12" s="1"/>
  <c r="E36" i="15"/>
  <c r="F35" i="15"/>
  <c r="F33" i="15"/>
  <c r="F32" i="15"/>
  <c r="F31" i="15"/>
  <c r="F30" i="15"/>
  <c r="F29" i="15"/>
  <c r="F28" i="15"/>
  <c r="F27" i="15"/>
  <c r="F26" i="15"/>
  <c r="D23" i="15"/>
  <c r="F23" i="15" s="1"/>
  <c r="F21" i="15"/>
  <c r="I20" i="15"/>
  <c r="F20" i="15"/>
  <c r="F19" i="15"/>
  <c r="E18" i="15"/>
  <c r="F18" i="15" s="1"/>
  <c r="D18" i="15"/>
  <c r="D17" i="15"/>
  <c r="D16" i="15"/>
  <c r="D15" i="15"/>
  <c r="F15" i="15" s="1"/>
  <c r="D14" i="15"/>
  <c r="F14" i="15" s="1"/>
  <c r="D13" i="15"/>
  <c r="D12" i="15"/>
  <c r="F11" i="15"/>
  <c r="D11" i="15"/>
  <c r="D10" i="15"/>
  <c r="F10" i="15" s="1"/>
  <c r="F9" i="15"/>
  <c r="D8" i="15"/>
  <c r="I7" i="15"/>
  <c r="D7" i="15"/>
  <c r="E36" i="14"/>
  <c r="F35" i="14"/>
  <c r="F33" i="14"/>
  <c r="F32" i="14"/>
  <c r="F31" i="14"/>
  <c r="F30" i="14"/>
  <c r="F29" i="14"/>
  <c r="F28" i="14"/>
  <c r="F27" i="14"/>
  <c r="F26" i="14"/>
  <c r="F23" i="14"/>
  <c r="D23" i="14"/>
  <c r="F21" i="14"/>
  <c r="I20" i="14"/>
  <c r="F20" i="14"/>
  <c r="F19" i="14"/>
  <c r="E18" i="14"/>
  <c r="D18" i="14"/>
  <c r="F18" i="14" s="1"/>
  <c r="D17" i="14"/>
  <c r="F17" i="14" s="1"/>
  <c r="D16" i="14"/>
  <c r="F15" i="14"/>
  <c r="D15" i="14"/>
  <c r="F14" i="14"/>
  <c r="D14" i="14"/>
  <c r="D12" i="14"/>
  <c r="F12" i="14" s="1"/>
  <c r="D11" i="14"/>
  <c r="F11" i="14" s="1"/>
  <c r="D10" i="14"/>
  <c r="F10" i="14" s="1"/>
  <c r="F9" i="14"/>
  <c r="D8" i="14"/>
  <c r="I7" i="14"/>
  <c r="O44" i="13"/>
  <c r="O42" i="13"/>
  <c r="O37" i="13"/>
  <c r="M36" i="13"/>
  <c r="L36" i="13"/>
  <c r="K36" i="13"/>
  <c r="J36" i="13"/>
  <c r="I36" i="13"/>
  <c r="H36" i="13"/>
  <c r="G36" i="13"/>
  <c r="F36" i="13"/>
  <c r="O36" i="13" s="1"/>
  <c r="E36" i="13"/>
  <c r="D36" i="13"/>
  <c r="C36" i="13"/>
  <c r="B36" i="13"/>
  <c r="O35" i="13"/>
  <c r="M34" i="13"/>
  <c r="K34" i="13"/>
  <c r="H34" i="13"/>
  <c r="G34" i="13"/>
  <c r="E34" i="13"/>
  <c r="C34" i="13"/>
  <c r="O32" i="13"/>
  <c r="B31" i="13"/>
  <c r="O31" i="13" s="1"/>
  <c r="O30" i="13"/>
  <c r="F81" i="6" s="1"/>
  <c r="O29" i="13"/>
  <c r="O28" i="13"/>
  <c r="O27" i="13"/>
  <c r="F33" i="6" s="1"/>
  <c r="O25" i="13"/>
  <c r="B25" i="13"/>
  <c r="O24" i="13"/>
  <c r="J16" i="13"/>
  <c r="H16" i="13"/>
  <c r="F16" i="13"/>
  <c r="B16" i="13"/>
  <c r="M15" i="13"/>
  <c r="M16" i="13" s="1"/>
  <c r="L15" i="13"/>
  <c r="L16" i="13" s="1"/>
  <c r="K15" i="13"/>
  <c r="K16" i="13" s="1"/>
  <c r="J15" i="13"/>
  <c r="I15" i="13"/>
  <c r="I16" i="13" s="1"/>
  <c r="H15" i="13"/>
  <c r="G15" i="13"/>
  <c r="G16" i="13" s="1"/>
  <c r="E15" i="13"/>
  <c r="E16" i="13" s="1"/>
  <c r="D15" i="13"/>
  <c r="D16" i="13" s="1"/>
  <c r="C15" i="13"/>
  <c r="C16" i="13" s="1"/>
  <c r="O15" i="13"/>
  <c r="O14" i="13"/>
  <c r="B11" i="13"/>
  <c r="O11" i="13" s="1"/>
  <c r="O10" i="13"/>
  <c r="O9" i="13"/>
  <c r="O44" i="12"/>
  <c r="O42" i="12"/>
  <c r="O37" i="12"/>
  <c r="M36" i="12"/>
  <c r="L36" i="12"/>
  <c r="K36" i="12"/>
  <c r="J36" i="12"/>
  <c r="I36" i="12"/>
  <c r="H36" i="12"/>
  <c r="G36" i="12"/>
  <c r="F36" i="12"/>
  <c r="E36" i="12"/>
  <c r="D36" i="12"/>
  <c r="C36" i="12"/>
  <c r="B36" i="12"/>
  <c r="O36" i="12" s="1"/>
  <c r="O35" i="12"/>
  <c r="O32" i="12"/>
  <c r="O31" i="12"/>
  <c r="B31" i="12"/>
  <c r="O30" i="12"/>
  <c r="O29" i="12"/>
  <c r="O28" i="12"/>
  <c r="O27" i="12"/>
  <c r="O25" i="12"/>
  <c r="B25" i="12"/>
  <c r="O24" i="12"/>
  <c r="K16" i="12"/>
  <c r="H16" i="12"/>
  <c r="F16" i="12"/>
  <c r="E16" i="12"/>
  <c r="C16" i="12"/>
  <c r="M15" i="12"/>
  <c r="M16" i="12" s="1"/>
  <c r="L15" i="12"/>
  <c r="L16" i="12" s="1"/>
  <c r="K15" i="12"/>
  <c r="J15" i="12"/>
  <c r="J16" i="12" s="1"/>
  <c r="I15" i="12"/>
  <c r="I16" i="12" s="1"/>
  <c r="H15" i="12"/>
  <c r="G15" i="12"/>
  <c r="G16" i="12" s="1"/>
  <c r="E15" i="12"/>
  <c r="D15" i="12"/>
  <c r="D16" i="12" s="1"/>
  <c r="C15" i="12"/>
  <c r="O15" i="12"/>
  <c r="O14" i="12"/>
  <c r="B16" i="12"/>
  <c r="O11" i="12"/>
  <c r="B11" i="12"/>
  <c r="O10" i="12"/>
  <c r="O9" i="12"/>
  <c r="F13" i="3" a="1"/>
  <c r="F13" i="3" s="1"/>
  <c r="D13" i="3" a="1"/>
  <c r="D13" i="3" s="1"/>
  <c r="D4" i="3"/>
  <c r="D3" i="3"/>
  <c r="C5" i="3"/>
  <c r="C4" i="3"/>
  <c r="C3" i="3"/>
  <c r="C8" i="2"/>
  <c r="D8" i="2"/>
  <c r="D21" i="2" s="1"/>
  <c r="E8" i="2"/>
  <c r="F8" i="2"/>
  <c r="F21" i="2" s="1"/>
  <c r="G8" i="2"/>
  <c r="H8" i="2"/>
  <c r="I8" i="2"/>
  <c r="J8" i="2"/>
  <c r="J21" i="2" s="1"/>
  <c r="K8" i="2"/>
  <c r="K21" i="2" s="1"/>
  <c r="L8" i="2"/>
  <c r="L21" i="2" s="1"/>
  <c r="M8" i="2"/>
  <c r="D73" i="6"/>
  <c r="H21" i="2"/>
  <c r="C21" i="2"/>
  <c r="G40" i="2"/>
  <c r="I40" i="2"/>
  <c r="B8" i="2"/>
  <c r="B21" i="2" s="1"/>
  <c r="C19" i="2"/>
  <c r="D19" i="2"/>
  <c r="E19" i="2"/>
  <c r="F19" i="2"/>
  <c r="G19" i="2"/>
  <c r="H19" i="2"/>
  <c r="I19" i="2"/>
  <c r="J19" i="2"/>
  <c r="K19" i="2"/>
  <c r="L19" i="2"/>
  <c r="M19" i="2"/>
  <c r="D40" i="2"/>
  <c r="E40" i="2"/>
  <c r="L40" i="2"/>
  <c r="B31" i="2"/>
  <c r="B14" i="2"/>
  <c r="D17" i="9"/>
  <c r="D16" i="9"/>
  <c r="D12" i="9"/>
  <c r="D8" i="9"/>
  <c r="E18" i="11"/>
  <c r="C8" i="11"/>
  <c r="C12" i="11" s="1"/>
  <c r="C7" i="11"/>
  <c r="B1" i="13" l="1"/>
  <c r="B6" i="13"/>
  <c r="B20" i="13" s="1"/>
  <c r="H6" i="13"/>
  <c r="H20" i="13" s="1"/>
  <c r="G6" i="13"/>
  <c r="G7" i="13" s="1"/>
  <c r="G18" i="13" s="1"/>
  <c r="F6" i="13"/>
  <c r="F20" i="13" s="1"/>
  <c r="M6" i="13"/>
  <c r="M20" i="13" s="1"/>
  <c r="E6" i="13"/>
  <c r="E20" i="13" s="1"/>
  <c r="C1" i="17"/>
  <c r="A5" i="18" s="1"/>
  <c r="L6" i="13"/>
  <c r="L19" i="13" s="1"/>
  <c r="D6" i="13"/>
  <c r="D19" i="13" s="1"/>
  <c r="G20" i="13"/>
  <c r="K6" i="13"/>
  <c r="K8" i="13" s="1"/>
  <c r="K21" i="13" s="1"/>
  <c r="C6" i="13"/>
  <c r="C8" i="13" s="1"/>
  <c r="C21" i="13" s="1"/>
  <c r="J6" i="13"/>
  <c r="J23" i="13" s="1"/>
  <c r="F7" i="13"/>
  <c r="F18" i="13" s="1"/>
  <c r="C10" i="16"/>
  <c r="G16" i="16"/>
  <c r="G24" i="16"/>
  <c r="G19" i="16"/>
  <c r="G22" i="16"/>
  <c r="G17" i="16"/>
  <c r="G20" i="16"/>
  <c r="G15" i="16"/>
  <c r="G23" i="16"/>
  <c r="G14" i="16"/>
  <c r="G18" i="16"/>
  <c r="G21" i="16"/>
  <c r="G23" i="13"/>
  <c r="H23" i="13"/>
  <c r="D23" i="13"/>
  <c r="I23" i="13"/>
  <c r="F23" i="13"/>
  <c r="K23" i="12"/>
  <c r="C23" i="12"/>
  <c r="J23" i="12"/>
  <c r="L23" i="12"/>
  <c r="D23" i="12"/>
  <c r="I23" i="12"/>
  <c r="I20" i="13"/>
  <c r="K20" i="12"/>
  <c r="C20" i="12"/>
  <c r="I20" i="12"/>
  <c r="H20" i="12"/>
  <c r="L20" i="12"/>
  <c r="H7" i="13"/>
  <c r="H18" i="13" s="1"/>
  <c r="D8" i="13"/>
  <c r="D21" i="13" s="1"/>
  <c r="I8" i="13"/>
  <c r="I21" i="13" s="1"/>
  <c r="I19" i="13"/>
  <c r="D7" i="13"/>
  <c r="D18" i="13" s="1"/>
  <c r="H8" i="13"/>
  <c r="H21" i="13" s="1"/>
  <c r="H19" i="13"/>
  <c r="G8" i="13"/>
  <c r="G19" i="13"/>
  <c r="F8" i="13"/>
  <c r="F21" i="13" s="1"/>
  <c r="F19" i="13"/>
  <c r="I7" i="13"/>
  <c r="I18" i="13" s="1"/>
  <c r="O33" i="13"/>
  <c r="F128" i="6" s="1"/>
  <c r="O34" i="13"/>
  <c r="E132" i="6"/>
  <c r="E126" i="6" s="1"/>
  <c r="E66" i="6"/>
  <c r="O34" i="12"/>
  <c r="O33" i="12"/>
  <c r="F16" i="15"/>
  <c r="D24" i="15"/>
  <c r="E13" i="15"/>
  <c r="F13" i="15" s="1"/>
  <c r="E7" i="15"/>
  <c r="F7" i="15" s="1"/>
  <c r="F12" i="15"/>
  <c r="F16" i="14"/>
  <c r="F8" i="14"/>
  <c r="E7" i="14"/>
  <c r="D13" i="14"/>
  <c r="D7" i="14"/>
  <c r="E13" i="14"/>
  <c r="O16" i="13"/>
  <c r="P16" i="13" s="1"/>
  <c r="K41" i="12"/>
  <c r="K22" i="12"/>
  <c r="O16" i="12"/>
  <c r="P16" i="12" s="1"/>
  <c r="D41" i="12"/>
  <c r="D22" i="12"/>
  <c r="L22" i="12"/>
  <c r="G40" i="12"/>
  <c r="E22" i="12"/>
  <c r="H40" i="12"/>
  <c r="M22" i="12"/>
  <c r="C22" i="12"/>
  <c r="K26" i="12"/>
  <c r="O6" i="12"/>
  <c r="D26" i="12"/>
  <c r="L41" i="12"/>
  <c r="E26" i="12"/>
  <c r="M26" i="12"/>
  <c r="G21" i="2"/>
  <c r="M40" i="2"/>
  <c r="M21" i="2"/>
  <c r="E21" i="2"/>
  <c r="I21" i="2"/>
  <c r="H40" i="2"/>
  <c r="F40" i="2"/>
  <c r="J40" i="2"/>
  <c r="K40" i="2"/>
  <c r="C40" i="2"/>
  <c r="D19" i="11"/>
  <c r="F22" i="13" l="1"/>
  <c r="E7" i="13"/>
  <c r="E18" i="13" s="1"/>
  <c r="H40" i="13"/>
  <c r="J20" i="13"/>
  <c r="C20" i="13"/>
  <c r="E8" i="13"/>
  <c r="E21" i="13" s="1"/>
  <c r="E23" i="13"/>
  <c r="E19" i="13"/>
  <c r="D20" i="13"/>
  <c r="L7" i="13"/>
  <c r="M19" i="13"/>
  <c r="J7" i="13"/>
  <c r="J18" i="13" s="1"/>
  <c r="B23" i="13"/>
  <c r="C23" i="13"/>
  <c r="B7" i="13"/>
  <c r="B26" i="13" s="1"/>
  <c r="M8" i="13"/>
  <c r="M21" i="13" s="1"/>
  <c r="L23" i="13"/>
  <c r="B8" i="13"/>
  <c r="B21" i="13" s="1"/>
  <c r="L20" i="13"/>
  <c r="M7" i="13"/>
  <c r="M18" i="13" s="1"/>
  <c r="D41" i="13"/>
  <c r="M23" i="13"/>
  <c r="B19" i="13"/>
  <c r="L8" i="13"/>
  <c r="L21" i="13" s="1"/>
  <c r="K20" i="13"/>
  <c r="C7" i="13"/>
  <c r="C18" i="13" s="1"/>
  <c r="K23" i="13"/>
  <c r="C19" i="13"/>
  <c r="K19" i="13"/>
  <c r="K7" i="13"/>
  <c r="K18" i="13" s="1"/>
  <c r="F12" i="13"/>
  <c r="O6" i="13"/>
  <c r="L22" i="13"/>
  <c r="J8" i="13"/>
  <c r="J21" i="13" s="1"/>
  <c r="J19" i="13"/>
  <c r="E22" i="13"/>
  <c r="D22" i="13"/>
  <c r="B18" i="13"/>
  <c r="D13" i="17" a="1"/>
  <c r="G13" i="16"/>
  <c r="E13" i="16"/>
  <c r="E14" i="16" s="1"/>
  <c r="E15" i="16" s="1"/>
  <c r="E16" i="16" s="1"/>
  <c r="E17" i="16" s="1"/>
  <c r="E18" i="16" s="1"/>
  <c r="E19" i="16" s="1"/>
  <c r="E20" i="16" s="1"/>
  <c r="E21" i="16" s="1"/>
  <c r="E22" i="16" s="1"/>
  <c r="E23" i="16" s="1"/>
  <c r="E24" i="16" s="1"/>
  <c r="C22" i="16"/>
  <c r="C20" i="16"/>
  <c r="C19" i="16"/>
  <c r="C24" i="16"/>
  <c r="C16" i="16"/>
  <c r="C21" i="16"/>
  <c r="C18" i="16"/>
  <c r="C23" i="16"/>
  <c r="C15" i="16"/>
  <c r="C17" i="16"/>
  <c r="C13" i="16"/>
  <c r="C14" i="16"/>
  <c r="K12" i="13"/>
  <c r="C41" i="13"/>
  <c r="C26" i="13"/>
  <c r="G21" i="13"/>
  <c r="G40" i="13"/>
  <c r="F133" i="6"/>
  <c r="K26" i="13"/>
  <c r="E41" i="13"/>
  <c r="F41" i="13"/>
  <c r="F13" i="14"/>
  <c r="E24" i="14"/>
  <c r="E37" i="14"/>
  <c r="E172" i="6"/>
  <c r="M41" i="12"/>
  <c r="L12" i="12"/>
  <c r="O23" i="12"/>
  <c r="E124" i="6" s="1"/>
  <c r="E114" i="6" s="1"/>
  <c r="E100" i="6" s="1"/>
  <c r="F24" i="15"/>
  <c r="F8" i="15"/>
  <c r="F17" i="15"/>
  <c r="E24" i="15"/>
  <c r="F7" i="14"/>
  <c r="F24" i="14" s="1"/>
  <c r="D24" i="14"/>
  <c r="F26" i="13"/>
  <c r="I26" i="13"/>
  <c r="I12" i="13"/>
  <c r="I41" i="13"/>
  <c r="I22" i="13"/>
  <c r="D40" i="13"/>
  <c r="D12" i="13"/>
  <c r="B22" i="13"/>
  <c r="H26" i="13"/>
  <c r="H22" i="13"/>
  <c r="H12" i="13"/>
  <c r="H41" i="13"/>
  <c r="I40" i="13"/>
  <c r="O8" i="13"/>
  <c r="F185" i="6" s="1"/>
  <c r="B40" i="13"/>
  <c r="F40" i="13"/>
  <c r="K40" i="13"/>
  <c r="J26" i="13"/>
  <c r="J41" i="13"/>
  <c r="J22" i="13"/>
  <c r="C40" i="13"/>
  <c r="D26" i="13"/>
  <c r="G22" i="13"/>
  <c r="G26" i="13"/>
  <c r="G41" i="13"/>
  <c r="G12" i="13"/>
  <c r="B26" i="12"/>
  <c r="B12" i="12"/>
  <c r="B41" i="12"/>
  <c r="B22" i="12"/>
  <c r="O7" i="12"/>
  <c r="I26" i="12"/>
  <c r="I12" i="12"/>
  <c r="I41" i="12"/>
  <c r="I22" i="12"/>
  <c r="C40" i="12"/>
  <c r="C45" i="12"/>
  <c r="B40" i="12"/>
  <c r="O8" i="12"/>
  <c r="F41" i="12"/>
  <c r="F22" i="12"/>
  <c r="F26" i="12"/>
  <c r="F12" i="12"/>
  <c r="H26" i="12"/>
  <c r="H12" i="12"/>
  <c r="H41" i="12"/>
  <c r="H22" i="12"/>
  <c r="G22" i="12"/>
  <c r="G26" i="12"/>
  <c r="G12" i="12"/>
  <c r="G41" i="12"/>
  <c r="C26" i="12"/>
  <c r="C38" i="12" s="1"/>
  <c r="M40" i="12"/>
  <c r="M43" i="12"/>
  <c r="O19" i="12"/>
  <c r="E18" i="6" s="1"/>
  <c r="O20" i="12"/>
  <c r="E28" i="6" s="1"/>
  <c r="F40" i="12"/>
  <c r="E40" i="12"/>
  <c r="E45" i="12"/>
  <c r="L45" i="12"/>
  <c r="L40" i="12"/>
  <c r="C41" i="12"/>
  <c r="E41" i="12"/>
  <c r="J26" i="12"/>
  <c r="J12" i="12"/>
  <c r="J41" i="12"/>
  <c r="J22" i="12"/>
  <c r="D43" i="12"/>
  <c r="D40" i="12"/>
  <c r="K40" i="12"/>
  <c r="K38" i="12"/>
  <c r="J40" i="12"/>
  <c r="I40" i="12"/>
  <c r="C12" i="12"/>
  <c r="M12" i="12"/>
  <c r="E12" i="12"/>
  <c r="L26" i="12"/>
  <c r="L38" i="12" s="1"/>
  <c r="D12" i="12"/>
  <c r="K12" i="12"/>
  <c r="E19" i="11"/>
  <c r="D20" i="11"/>
  <c r="E26" i="13" l="1"/>
  <c r="E43" i="13" s="1"/>
  <c r="L26" i="13"/>
  <c r="K41" i="13"/>
  <c r="E40" i="13"/>
  <c r="K22" i="13"/>
  <c r="K43" i="13" s="1"/>
  <c r="O23" i="13"/>
  <c r="F124" i="6" s="1"/>
  <c r="O19" i="13"/>
  <c r="F18" i="6" s="1"/>
  <c r="M40" i="13"/>
  <c r="E12" i="13"/>
  <c r="O7" i="13"/>
  <c r="C3" i="17" s="1"/>
  <c r="M22" i="13"/>
  <c r="O20" i="13"/>
  <c r="F28" i="6" s="1"/>
  <c r="B41" i="13"/>
  <c r="B12" i="13"/>
  <c r="L40" i="13"/>
  <c r="M26" i="13"/>
  <c r="O26" i="13" s="1"/>
  <c r="F21" i="6" s="1"/>
  <c r="M41" i="13"/>
  <c r="M12" i="13"/>
  <c r="J12" i="13"/>
  <c r="J40" i="13"/>
  <c r="L12" i="13"/>
  <c r="L18" i="13"/>
  <c r="L41" i="13"/>
  <c r="C22" i="13"/>
  <c r="C43" i="13" s="1"/>
  <c r="I43" i="13"/>
  <c r="K38" i="13"/>
  <c r="C12" i="13"/>
  <c r="D13" i="17"/>
  <c r="F13" i="17" a="1"/>
  <c r="F13" i="17" s="1"/>
  <c r="D3" i="17"/>
  <c r="E186" i="6"/>
  <c r="E185" i="6"/>
  <c r="F186" i="6"/>
  <c r="L43" i="13"/>
  <c r="H43" i="13"/>
  <c r="F38" i="13"/>
  <c r="E45" i="13"/>
  <c r="D43" i="13"/>
  <c r="G43" i="13"/>
  <c r="F43" i="13"/>
  <c r="J43" i="13"/>
  <c r="L38" i="13"/>
  <c r="E37" i="15"/>
  <c r="F173" i="6"/>
  <c r="H43" i="12"/>
  <c r="I43" i="12"/>
  <c r="F43" i="12"/>
  <c r="E43" i="12"/>
  <c r="J43" i="12"/>
  <c r="E38" i="12"/>
  <c r="M38" i="12"/>
  <c r="L45" i="13"/>
  <c r="I38" i="13"/>
  <c r="I45" i="13"/>
  <c r="I47" i="13" s="1"/>
  <c r="D45" i="13"/>
  <c r="D38" i="13"/>
  <c r="C45" i="13"/>
  <c r="K45" i="13"/>
  <c r="M45" i="13"/>
  <c r="J45" i="13"/>
  <c r="J38" i="13"/>
  <c r="B45" i="13"/>
  <c r="B38" i="13"/>
  <c r="O18" i="13"/>
  <c r="O21" i="13"/>
  <c r="H45" i="13"/>
  <c r="H38" i="13"/>
  <c r="G38" i="13"/>
  <c r="G45" i="13"/>
  <c r="F45" i="13"/>
  <c r="F47" i="13" s="1"/>
  <c r="E38" i="13"/>
  <c r="B43" i="13"/>
  <c r="O41" i="13"/>
  <c r="M45" i="12"/>
  <c r="G43" i="12"/>
  <c r="O21" i="12"/>
  <c r="B43" i="12"/>
  <c r="K43" i="12"/>
  <c r="O40" i="12"/>
  <c r="C43" i="12"/>
  <c r="O22" i="12"/>
  <c r="O41" i="12"/>
  <c r="L43" i="12"/>
  <c r="F38" i="12"/>
  <c r="F45" i="12"/>
  <c r="J45" i="12"/>
  <c r="J38" i="12"/>
  <c r="D45" i="12"/>
  <c r="H38" i="12"/>
  <c r="H45" i="12"/>
  <c r="O12" i="12"/>
  <c r="P12" i="12" s="1"/>
  <c r="D38" i="12"/>
  <c r="B45" i="12"/>
  <c r="O18" i="12"/>
  <c r="E17" i="6" s="1"/>
  <c r="B38" i="12"/>
  <c r="G38" i="12"/>
  <c r="G45" i="12"/>
  <c r="K45" i="12"/>
  <c r="O26" i="12"/>
  <c r="E21" i="6" s="1"/>
  <c r="I38" i="12"/>
  <c r="I45" i="12"/>
  <c r="D21" i="11"/>
  <c r="E20" i="11"/>
  <c r="C4" i="17" l="1"/>
  <c r="M43" i="13"/>
  <c r="O40" i="13"/>
  <c r="O12" i="13"/>
  <c r="P12" i="13" s="1"/>
  <c r="C47" i="13"/>
  <c r="O22" i="13"/>
  <c r="C5" i="17" s="1"/>
  <c r="C7" i="17" s="1"/>
  <c r="C8" i="17" s="1"/>
  <c r="C10" i="17" s="1"/>
  <c r="M38" i="13"/>
  <c r="E47" i="13"/>
  <c r="G47" i="13"/>
  <c r="K47" i="13"/>
  <c r="C38" i="13"/>
  <c r="G20" i="17"/>
  <c r="G18" i="17"/>
  <c r="G22" i="17"/>
  <c r="G16" i="17"/>
  <c r="G21" i="17"/>
  <c r="G17" i="17"/>
  <c r="G23" i="17"/>
  <c r="G19" i="17"/>
  <c r="G14" i="17"/>
  <c r="G13" i="17"/>
  <c r="E13" i="17"/>
  <c r="E14" i="17" s="1"/>
  <c r="E15" i="17" s="1"/>
  <c r="E16" i="17" s="1"/>
  <c r="E17" i="17" s="1"/>
  <c r="E18" i="17" s="1"/>
  <c r="E19" i="17" s="1"/>
  <c r="E20" i="17" s="1"/>
  <c r="E21" i="17" s="1"/>
  <c r="E22" i="17" s="1"/>
  <c r="E23" i="17" s="1"/>
  <c r="E24" i="17" s="1"/>
  <c r="G15" i="17"/>
  <c r="F17" i="6"/>
  <c r="G24" i="17"/>
  <c r="D47" i="13"/>
  <c r="E27" i="6"/>
  <c r="E26" i="6"/>
  <c r="E25" i="6"/>
  <c r="L47" i="13"/>
  <c r="M48" i="13" s="1"/>
  <c r="M50" i="13" s="1"/>
  <c r="J47" i="13"/>
  <c r="H47" i="13"/>
  <c r="M47" i="13"/>
  <c r="E37" i="6"/>
  <c r="E35" i="6"/>
  <c r="L46" i="13"/>
  <c r="F37" i="6"/>
  <c r="F35" i="6"/>
  <c r="F27" i="6"/>
  <c r="B47" i="12"/>
  <c r="C46" i="12" s="1"/>
  <c r="C47" i="12" s="1"/>
  <c r="O43" i="13"/>
  <c r="B47" i="13"/>
  <c r="O45" i="13"/>
  <c r="O38" i="12"/>
  <c r="O43" i="12"/>
  <c r="O45" i="12"/>
  <c r="B50" i="12"/>
  <c r="E21" i="11"/>
  <c r="D22" i="11"/>
  <c r="P38" i="12" l="1"/>
  <c r="D4" i="16"/>
  <c r="O38" i="13"/>
  <c r="P38" i="13" s="1"/>
  <c r="F26" i="6"/>
  <c r="F25" i="6"/>
  <c r="C16" i="17"/>
  <c r="C20" i="17"/>
  <c r="C18" i="17"/>
  <c r="C15" i="17"/>
  <c r="C17" i="17"/>
  <c r="C23" i="17"/>
  <c r="C19" i="17"/>
  <c r="C13" i="17"/>
  <c r="C21" i="17"/>
  <c r="C22" i="17"/>
  <c r="C24" i="17"/>
  <c r="C14" i="17"/>
  <c r="L48" i="13"/>
  <c r="L50" i="13" s="1"/>
  <c r="M46" i="13"/>
  <c r="C48" i="12"/>
  <c r="C50" i="12" s="1"/>
  <c r="C48" i="13"/>
  <c r="C50" i="13" s="1"/>
  <c r="C46" i="13"/>
  <c r="D23" i="11"/>
  <c r="E22" i="11"/>
  <c r="D4" i="17" l="1"/>
  <c r="D48" i="12"/>
  <c r="D50" i="12" s="1"/>
  <c r="D46" i="12"/>
  <c r="D47" i="12" s="1"/>
  <c r="D24" i="11"/>
  <c r="E23" i="11"/>
  <c r="D46" i="13" l="1"/>
  <c r="D48" i="13"/>
  <c r="D50" i="13" s="1"/>
  <c r="D25" i="11"/>
  <c r="E24" i="11"/>
  <c r="E48" i="12" l="1"/>
  <c r="E50" i="12" s="1"/>
  <c r="E46" i="12"/>
  <c r="E47" i="12" s="1"/>
  <c r="E25" i="11"/>
  <c r="D26" i="11"/>
  <c r="E48" i="13" l="1"/>
  <c r="E50" i="13" s="1"/>
  <c r="E46" i="13"/>
  <c r="E26" i="11"/>
  <c r="D27" i="11"/>
  <c r="F46" i="12" l="1"/>
  <c r="F47" i="12" s="1"/>
  <c r="F48" i="12"/>
  <c r="F50" i="12" s="1"/>
  <c r="E27" i="11"/>
  <c r="D28" i="11"/>
  <c r="F46" i="13" l="1"/>
  <c r="F48" i="13"/>
  <c r="F50" i="13" s="1"/>
  <c r="E28" i="11"/>
  <c r="D29" i="11"/>
  <c r="G48" i="12" l="1"/>
  <c r="G50" i="12" s="1"/>
  <c r="G46" i="12"/>
  <c r="G47" i="12" s="1"/>
  <c r="E29" i="11"/>
  <c r="D30" i="11"/>
  <c r="G48" i="13" l="1"/>
  <c r="G50" i="13" s="1"/>
  <c r="G46" i="13"/>
  <c r="E30" i="11"/>
  <c r="D31" i="11"/>
  <c r="H48" i="12" l="1"/>
  <c r="H50" i="12" s="1"/>
  <c r="H46" i="12"/>
  <c r="H47" i="12" s="1"/>
  <c r="D32" i="11"/>
  <c r="E31" i="11"/>
  <c r="H48" i="13" l="1"/>
  <c r="H50" i="13" s="1"/>
  <c r="H46" i="13"/>
  <c r="I48" i="12"/>
  <c r="I50" i="12" s="1"/>
  <c r="I46" i="12"/>
  <c r="I47" i="12" s="1"/>
  <c r="D33" i="11"/>
  <c r="E32" i="11"/>
  <c r="I48" i="13" l="1"/>
  <c r="I50" i="13" s="1"/>
  <c r="I46" i="13"/>
  <c r="J48" i="12"/>
  <c r="J50" i="12" s="1"/>
  <c r="J46" i="12"/>
  <c r="J47" i="12" s="1"/>
  <c r="E33" i="11"/>
  <c r="D34" i="11"/>
  <c r="J48" i="13" l="1"/>
  <c r="J50" i="13" s="1"/>
  <c r="J46" i="13"/>
  <c r="K48" i="12"/>
  <c r="K50" i="12" s="1"/>
  <c r="K46" i="12"/>
  <c r="E34" i="11"/>
  <c r="D35" i="11"/>
  <c r="K47" i="12" l="1"/>
  <c r="K48" i="13"/>
  <c r="K50" i="13" s="1"/>
  <c r="K46" i="13"/>
  <c r="O46" i="13" s="1"/>
  <c r="O47" i="13"/>
  <c r="E35" i="11"/>
  <c r="D36" i="11"/>
  <c r="L48" i="12" l="1"/>
  <c r="L50" i="12" s="1"/>
  <c r="L46" i="12"/>
  <c r="E36" i="11"/>
  <c r="D37" i="11"/>
  <c r="L47" i="12" l="1"/>
  <c r="D38" i="11"/>
  <c r="E37" i="11"/>
  <c r="M48" i="12" l="1"/>
  <c r="M50" i="12" s="1"/>
  <c r="M46" i="12"/>
  <c r="D39" i="11"/>
  <c r="E38" i="11"/>
  <c r="M47" i="12" l="1"/>
  <c r="O46" i="12"/>
  <c r="D40" i="11"/>
  <c r="E39" i="11"/>
  <c r="O47" i="12" l="1"/>
  <c r="B48" i="13"/>
  <c r="B50" i="13" s="1"/>
  <c r="D41" i="11"/>
  <c r="E40" i="11"/>
  <c r="E41" i="11" l="1"/>
  <c r="D42" i="11"/>
  <c r="E42" i="11" l="1"/>
  <c r="D43" i="11"/>
  <c r="E43" i="11" l="1"/>
  <c r="D44" i="11"/>
  <c r="D45" i="11" l="1"/>
  <c r="E44" i="11"/>
  <c r="E45" i="11" l="1"/>
  <c r="D46" i="11"/>
  <c r="D47" i="11" l="1"/>
  <c r="E46" i="11"/>
  <c r="D48" i="11" l="1"/>
  <c r="E47" i="11"/>
  <c r="D49" i="11" l="1"/>
  <c r="E48" i="11"/>
  <c r="E49" i="11" l="1"/>
  <c r="D50" i="11"/>
  <c r="E50" i="11" l="1"/>
  <c r="D51" i="11"/>
  <c r="E51" i="11" l="1"/>
  <c r="D52" i="11"/>
  <c r="E52" i="11" l="1"/>
  <c r="D53" i="11"/>
  <c r="D54" i="11" l="1"/>
  <c r="E53" i="11"/>
  <c r="E54" i="11" l="1"/>
  <c r="D55" i="11"/>
  <c r="D56" i="11" l="1"/>
  <c r="E55" i="11"/>
  <c r="D57" i="11" l="1"/>
  <c r="E56" i="11"/>
  <c r="E57" i="11" l="1"/>
  <c r="D58" i="11"/>
  <c r="E58" i="11" l="1"/>
  <c r="D59" i="11"/>
  <c r="E59" i="11" l="1"/>
  <c r="D60" i="11"/>
  <c r="E60" i="11" l="1"/>
  <c r="D61" i="11"/>
  <c r="E61" i="11" l="1"/>
  <c r="D62" i="11"/>
  <c r="E62" i="11" l="1"/>
  <c r="D63" i="11"/>
  <c r="D64" i="11" l="1"/>
  <c r="E63" i="11"/>
  <c r="D65" i="11" l="1"/>
  <c r="E64" i="11"/>
  <c r="E65" i="11" l="1"/>
  <c r="D66" i="11"/>
  <c r="E66" i="11" l="1"/>
  <c r="D67" i="11"/>
  <c r="E67" i="11" l="1"/>
  <c r="D68" i="11"/>
  <c r="D69" i="11" l="1"/>
  <c r="E68" i="11"/>
  <c r="D70" i="11" l="1"/>
  <c r="E69" i="11"/>
  <c r="D71" i="11" l="1"/>
  <c r="E70" i="11"/>
  <c r="D72" i="11" l="1"/>
  <c r="E71" i="11"/>
  <c r="D73" i="11" l="1"/>
  <c r="E72" i="11"/>
  <c r="E73" i="11" l="1"/>
  <c r="D74" i="11"/>
  <c r="E74" i="11" l="1"/>
  <c r="D75" i="11"/>
  <c r="E75" i="11" l="1"/>
  <c r="D76" i="11"/>
  <c r="E76" i="11" l="1"/>
  <c r="D77" i="11"/>
  <c r="D78" i="11" l="1"/>
  <c r="E77" i="11"/>
  <c r="E78" i="11" l="1"/>
  <c r="D79" i="11"/>
  <c r="G78" i="11"/>
  <c r="H78" i="11" l="1"/>
  <c r="I78" i="11" s="1"/>
  <c r="J78" i="11" s="1"/>
  <c r="F79" i="11" s="1"/>
  <c r="D80" i="11"/>
  <c r="G79" i="11"/>
  <c r="E79" i="11"/>
  <c r="H79" i="11" l="1"/>
  <c r="I79" i="11" s="1"/>
  <c r="J79" i="11" s="1"/>
  <c r="F80" i="11" s="1"/>
  <c r="D81" i="11"/>
  <c r="E80" i="11"/>
  <c r="G80" i="11"/>
  <c r="H80" i="11" l="1"/>
  <c r="I80" i="11" s="1"/>
  <c r="J80" i="11" s="1"/>
  <c r="F81" i="11" s="1"/>
  <c r="E81" i="11"/>
  <c r="D82" i="11"/>
  <c r="G81" i="11"/>
  <c r="H81" i="11" l="1"/>
  <c r="I81" i="11" s="1"/>
  <c r="J81" i="11" s="1"/>
  <c r="F82" i="11" s="1"/>
  <c r="E82" i="11"/>
  <c r="D83" i="11"/>
  <c r="G82" i="11"/>
  <c r="H82" i="11" l="1"/>
  <c r="I82" i="11" s="1"/>
  <c r="J82" i="11" s="1"/>
  <c r="F83" i="11" s="1"/>
  <c r="G83" i="11"/>
  <c r="E83" i="11"/>
  <c r="D84" i="11"/>
  <c r="H83" i="11" l="1"/>
  <c r="I83" i="11" s="1"/>
  <c r="J83" i="11" s="1"/>
  <c r="F84" i="11" s="1"/>
  <c r="G84" i="11"/>
  <c r="D85" i="11"/>
  <c r="E84" i="11"/>
  <c r="H84" i="11" l="1"/>
  <c r="I84" i="11" s="1"/>
  <c r="J84" i="11" s="1"/>
  <c r="F85" i="11" s="1"/>
  <c r="G85" i="11"/>
  <c r="E85" i="11"/>
  <c r="D86" i="11"/>
  <c r="H85" i="11" l="1"/>
  <c r="I85" i="11" s="1"/>
  <c r="J85" i="11" s="1"/>
  <c r="F86" i="11" s="1"/>
  <c r="D87" i="11"/>
  <c r="E86" i="11"/>
  <c r="G86" i="11"/>
  <c r="H86" i="11" l="1"/>
  <c r="I86" i="11" s="1"/>
  <c r="J86" i="11" s="1"/>
  <c r="F87" i="11" s="1"/>
  <c r="D88" i="11"/>
  <c r="E87" i="11"/>
  <c r="G87" i="11"/>
  <c r="H87" i="11" l="1"/>
  <c r="I87" i="11" s="1"/>
  <c r="J87" i="11" s="1"/>
  <c r="F88" i="11" s="1"/>
  <c r="D89" i="11"/>
  <c r="E88" i="11"/>
  <c r="G88" i="11"/>
  <c r="H88" i="11" l="1"/>
  <c r="I88" i="11" s="1"/>
  <c r="J88" i="11" s="1"/>
  <c r="F89" i="11" s="1"/>
  <c r="H89" i="11" s="1"/>
  <c r="I89" i="11" s="1"/>
  <c r="J89" i="11" s="1"/>
  <c r="E89" i="11"/>
  <c r="D90" i="11"/>
  <c r="G89" i="11"/>
  <c r="F90" i="11" l="1"/>
  <c r="H90" i="11" s="1"/>
  <c r="E90" i="11"/>
  <c r="D91" i="11"/>
  <c r="G90" i="11"/>
  <c r="I90" i="11" l="1"/>
  <c r="J90" i="11" s="1"/>
  <c r="F91" i="11" s="1"/>
  <c r="H91" i="11" s="1"/>
  <c r="I91" i="11" s="1"/>
  <c r="J91" i="11" s="1"/>
  <c r="G91" i="11"/>
  <c r="E91" i="11"/>
  <c r="D92" i="11"/>
  <c r="G92" i="11" l="1"/>
  <c r="F92" i="11"/>
  <c r="H92" i="11" s="1"/>
  <c r="E92" i="11"/>
  <c r="D93" i="11"/>
  <c r="I92" i="11" l="1"/>
  <c r="J92" i="11" s="1"/>
  <c r="F93" i="11" s="1"/>
  <c r="G93" i="11"/>
  <c r="E93" i="11"/>
  <c r="D94" i="11"/>
  <c r="H93" i="11" l="1"/>
  <c r="I93" i="11"/>
  <c r="J93" i="11" s="1"/>
  <c r="F94" i="11" s="1"/>
  <c r="G94" i="11"/>
  <c r="E94" i="11"/>
  <c r="D95" i="11"/>
  <c r="H94" i="11" l="1"/>
  <c r="I94" i="11" s="1"/>
  <c r="J94" i="11" s="1"/>
  <c r="F95" i="11" s="1"/>
  <c r="D96" i="11"/>
  <c r="E95" i="11"/>
  <c r="G95" i="11"/>
  <c r="H95" i="11" l="1"/>
  <c r="I95" i="11" s="1"/>
  <c r="J95" i="11"/>
  <c r="D97" i="11"/>
  <c r="G96" i="11"/>
  <c r="F96" i="11"/>
  <c r="H96" i="11" s="1"/>
  <c r="E96" i="11"/>
  <c r="I96" i="11" l="1"/>
  <c r="E97" i="11"/>
  <c r="D98" i="11"/>
  <c r="G97" i="11"/>
  <c r="J96" i="11"/>
  <c r="F97" i="11" s="1"/>
  <c r="H97" i="11" s="1"/>
  <c r="I97" i="11" l="1"/>
  <c r="J97" i="11" s="1"/>
  <c r="F98" i="11" s="1"/>
  <c r="H98" i="11" s="1"/>
  <c r="I98" i="11" s="1"/>
  <c r="J98" i="11" s="1"/>
  <c r="E98" i="11"/>
  <c r="G98" i="11"/>
  <c r="D99" i="11"/>
  <c r="G99" i="11" l="1"/>
  <c r="F99" i="11"/>
  <c r="E99" i="11"/>
  <c r="D100" i="11"/>
  <c r="H99" i="11"/>
  <c r="I99" i="11" l="1"/>
  <c r="J99" i="11" s="1"/>
  <c r="F100" i="11" s="1"/>
  <c r="H100" i="11" s="1"/>
  <c r="I100" i="11" s="1"/>
  <c r="J100" i="11" s="1"/>
  <c r="G100" i="11"/>
  <c r="D101" i="11"/>
  <c r="E100" i="11"/>
  <c r="G101" i="11" l="1"/>
  <c r="D102" i="11"/>
  <c r="F101" i="11"/>
  <c r="H101" i="11" s="1"/>
  <c r="E101" i="11"/>
  <c r="I101" i="11" l="1"/>
  <c r="J101" i="11"/>
  <c r="G102" i="11"/>
  <c r="F102" i="11"/>
  <c r="H102" i="11" s="1"/>
  <c r="D103" i="11"/>
  <c r="E102" i="11"/>
  <c r="I102" i="11" l="1"/>
  <c r="D104" i="11"/>
  <c r="G103" i="11"/>
  <c r="E103" i="11"/>
  <c r="J102" i="11"/>
  <c r="F103" i="11" s="1"/>
  <c r="H103" i="11" l="1"/>
  <c r="I103" i="11" s="1"/>
  <c r="J103" i="11" s="1"/>
  <c r="F104" i="11" s="1"/>
  <c r="D105" i="11"/>
  <c r="G104" i="11"/>
  <c r="E104" i="11"/>
  <c r="H104" i="11" l="1"/>
  <c r="I104" i="11" s="1"/>
  <c r="J104" i="11" s="1"/>
  <c r="F105" i="11" s="1"/>
  <c r="E105" i="11"/>
  <c r="D106" i="11"/>
  <c r="G105" i="11"/>
  <c r="H105" i="11" l="1"/>
  <c r="I105" i="11" s="1"/>
  <c r="J105" i="11" s="1"/>
  <c r="F106" i="11" s="1"/>
  <c r="E106" i="11"/>
  <c r="D107" i="11"/>
  <c r="G106" i="11"/>
  <c r="H106" i="11" l="1"/>
  <c r="I106" i="11" s="1"/>
  <c r="J106" i="11" s="1"/>
  <c r="F107" i="11" s="1"/>
  <c r="G107" i="11"/>
  <c r="E107" i="11"/>
  <c r="D108" i="11"/>
  <c r="H107" i="11" l="1"/>
  <c r="I107" i="11" s="1"/>
  <c r="J107" i="11" s="1"/>
  <c r="F108" i="11" s="1"/>
  <c r="G108" i="11"/>
  <c r="D109" i="11"/>
  <c r="E108" i="11"/>
  <c r="H108" i="11" l="1"/>
  <c r="I108" i="11" s="1"/>
  <c r="J108" i="11" s="1"/>
  <c r="F109" i="11" s="1"/>
  <c r="G109" i="11"/>
  <c r="E109" i="11"/>
  <c r="D110" i="11"/>
  <c r="H109" i="11" l="1"/>
  <c r="I109" i="11" s="1"/>
  <c r="J109" i="11" s="1"/>
  <c r="F110" i="11" s="1"/>
  <c r="D111" i="11"/>
  <c r="G110" i="11"/>
  <c r="E110" i="11"/>
  <c r="H110" i="11" l="1"/>
  <c r="I110" i="11" s="1"/>
  <c r="J110" i="11" s="1"/>
  <c r="F111" i="11" s="1"/>
  <c r="D112" i="11"/>
  <c r="E111" i="11"/>
  <c r="G111" i="11"/>
  <c r="H111" i="11" l="1"/>
  <c r="I111" i="11" s="1"/>
  <c r="J111" i="11" s="1"/>
  <c r="F112" i="11" s="1"/>
  <c r="D113" i="11"/>
  <c r="G112" i="11"/>
  <c r="E112" i="11"/>
  <c r="H112" i="11" l="1"/>
  <c r="I112" i="11" s="1"/>
  <c r="J112" i="11" s="1"/>
  <c r="F113" i="11" s="1"/>
  <c r="E113" i="11"/>
  <c r="D114" i="11"/>
  <c r="G113" i="11"/>
  <c r="H113" i="11" l="1"/>
  <c r="I113" i="11" s="1"/>
  <c r="J113" i="11" s="1"/>
  <c r="F114" i="11" s="1"/>
  <c r="E114" i="11"/>
  <c r="G114" i="11"/>
  <c r="D115" i="11"/>
  <c r="H114" i="11" l="1"/>
  <c r="I114" i="11" s="1"/>
  <c r="J114" i="11" s="1"/>
  <c r="F115" i="11" s="1"/>
  <c r="G115" i="11"/>
  <c r="E115" i="11"/>
  <c r="D116" i="11"/>
  <c r="H115" i="11" l="1"/>
  <c r="I115" i="11" s="1"/>
  <c r="J115" i="11" s="1"/>
  <c r="F116" i="11" s="1"/>
  <c r="G116" i="11"/>
  <c r="E116" i="11"/>
  <c r="D117" i="11"/>
  <c r="H116" i="11" l="1"/>
  <c r="I116" i="11" s="1"/>
  <c r="J116" i="11" s="1"/>
  <c r="F117" i="11" s="1"/>
  <c r="G117" i="11"/>
  <c r="D118" i="11"/>
  <c r="E117" i="11"/>
  <c r="H117" i="11" l="1"/>
  <c r="I117" i="11" s="1"/>
  <c r="J117" i="11" s="1"/>
  <c r="F118" i="11" s="1"/>
  <c r="E118" i="11"/>
  <c r="D119" i="11"/>
  <c r="G118" i="11"/>
  <c r="H118" i="11" l="1"/>
  <c r="I118" i="11" s="1"/>
  <c r="J118" i="11" s="1"/>
  <c r="F119" i="11" s="1"/>
  <c r="D120" i="11"/>
  <c r="E119" i="11"/>
  <c r="G119" i="11"/>
  <c r="H119" i="11" l="1"/>
  <c r="I119" i="11" s="1"/>
  <c r="J119" i="11"/>
  <c r="D121" i="11"/>
  <c r="F120" i="11"/>
  <c r="E120" i="11"/>
  <c r="H120" i="11"/>
  <c r="I120" i="11" s="1"/>
  <c r="G120" i="11"/>
  <c r="J120" i="11" l="1"/>
  <c r="E121" i="11"/>
  <c r="D122" i="11"/>
  <c r="F121" i="11"/>
  <c r="H121" i="11" s="1"/>
  <c r="G121" i="11"/>
  <c r="I121" i="11" l="1"/>
  <c r="J121" i="11"/>
  <c r="F122" i="11"/>
  <c r="E122" i="11"/>
  <c r="H122" i="11"/>
  <c r="D123" i="11"/>
  <c r="G122" i="11"/>
  <c r="I122" i="11" s="1"/>
  <c r="J122" i="11" s="1"/>
  <c r="G123" i="11" l="1"/>
  <c r="F123" i="11"/>
  <c r="E123" i="11"/>
  <c r="H123" i="11"/>
  <c r="I123" i="11" s="1"/>
  <c r="J123" i="11" s="1"/>
  <c r="D124" i="11"/>
  <c r="G124" i="11" l="1"/>
  <c r="F124" i="11"/>
  <c r="H124" i="11" s="1"/>
  <c r="I124" i="11" s="1"/>
  <c r="J124" i="11" s="1"/>
  <c r="E124" i="11"/>
  <c r="D125" i="11"/>
  <c r="G125" i="11" l="1"/>
  <c r="F125" i="11"/>
  <c r="H125" i="11" s="1"/>
  <c r="E125" i="11"/>
  <c r="D126" i="11"/>
  <c r="I125" i="11" l="1"/>
  <c r="J125" i="11"/>
  <c r="F126" i="11"/>
  <c r="E126" i="11"/>
  <c r="D127" i="11"/>
  <c r="G126" i="11"/>
  <c r="D128" i="11" l="1"/>
  <c r="G127" i="11"/>
  <c r="E127" i="11"/>
  <c r="H126" i="11"/>
  <c r="I126" i="11" s="1"/>
  <c r="J126" i="11" s="1"/>
  <c r="F127" i="11" s="1"/>
  <c r="H127" i="11" l="1"/>
  <c r="I127" i="11"/>
  <c r="J127" i="11" s="1"/>
  <c r="F128" i="11" s="1"/>
  <c r="D129" i="11"/>
  <c r="E128" i="11"/>
  <c r="G128" i="11"/>
  <c r="H128" i="11" l="1"/>
  <c r="I128" i="11" s="1"/>
  <c r="J128" i="11"/>
  <c r="E129" i="11"/>
  <c r="D130" i="11"/>
  <c r="G129" i="11"/>
  <c r="F129" i="11"/>
  <c r="H129" i="11" s="1"/>
  <c r="I129" i="11" s="1"/>
  <c r="J129" i="11" s="1"/>
  <c r="F130" i="11" l="1"/>
  <c r="H130" i="11" s="1"/>
  <c r="E130" i="11"/>
  <c r="D131" i="11"/>
  <c r="G130" i="11"/>
  <c r="I130" i="11" l="1"/>
  <c r="J130" i="11" s="1"/>
  <c r="G131" i="11"/>
  <c r="F131" i="11"/>
  <c r="H131" i="11" s="1"/>
  <c r="I131" i="11" s="1"/>
  <c r="J131" i="11" s="1"/>
  <c r="E131" i="11"/>
  <c r="D132" i="11"/>
  <c r="G132" i="11" l="1"/>
  <c r="F132" i="11"/>
  <c r="H132" i="11" s="1"/>
  <c r="I132" i="11" s="1"/>
  <c r="J132" i="11" s="1"/>
  <c r="D133" i="11"/>
  <c r="E132" i="11"/>
  <c r="G133" i="11" l="1"/>
  <c r="F133" i="11"/>
  <c r="D134" i="11"/>
  <c r="E133" i="11"/>
  <c r="H133" i="11" l="1"/>
  <c r="I133" i="11" s="1"/>
  <c r="J133" i="11" s="1"/>
  <c r="F134" i="11" s="1"/>
  <c r="D135" i="11"/>
  <c r="G134" i="11"/>
  <c r="E134" i="11"/>
  <c r="H134" i="11" l="1"/>
  <c r="I134" i="11" s="1"/>
  <c r="J134" i="11" s="1"/>
  <c r="F135" i="11" s="1"/>
  <c r="D136" i="11"/>
  <c r="G135" i="11"/>
  <c r="E135" i="11"/>
  <c r="H135" i="11" l="1"/>
  <c r="I135" i="11" s="1"/>
  <c r="J135" i="11" s="1"/>
  <c r="F136" i="11" s="1"/>
  <c r="D137" i="11"/>
  <c r="G136" i="11"/>
  <c r="E136" i="11"/>
  <c r="H136" i="11" l="1"/>
  <c r="I136" i="11" s="1"/>
  <c r="J136" i="11" s="1"/>
  <c r="F137" i="11" s="1"/>
  <c r="E137" i="11"/>
  <c r="D138" i="11"/>
  <c r="G137" i="11"/>
  <c r="H137" i="11" l="1"/>
  <c r="I137" i="11" s="1"/>
  <c r="J137" i="11" s="1"/>
  <c r="F138" i="11" s="1"/>
  <c r="E138" i="11"/>
  <c r="G138" i="11"/>
  <c r="D139" i="11"/>
  <c r="H138" i="11" l="1"/>
  <c r="I138" i="11" s="1"/>
  <c r="J138" i="11" s="1"/>
  <c r="F139" i="11" s="1"/>
  <c r="G139" i="11"/>
  <c r="E139" i="11"/>
  <c r="D140" i="11"/>
  <c r="H139" i="11" l="1"/>
  <c r="I139" i="11" s="1"/>
  <c r="J139" i="11" s="1"/>
  <c r="F140" i="11" s="1"/>
  <c r="G140" i="11"/>
  <c r="E140" i="11"/>
  <c r="D141" i="11"/>
  <c r="H140" i="11" l="1"/>
  <c r="I140" i="11" s="1"/>
  <c r="J140" i="11" s="1"/>
  <c r="F141" i="11" s="1"/>
  <c r="G141" i="11"/>
  <c r="D142" i="11"/>
  <c r="E141" i="11"/>
  <c r="H141" i="11" l="1"/>
  <c r="I141" i="11" s="1"/>
  <c r="J141" i="11" s="1"/>
  <c r="F142" i="11" s="1"/>
  <c r="E142" i="11"/>
  <c r="D143" i="11"/>
  <c r="G142" i="11"/>
  <c r="H142" i="11" l="1"/>
  <c r="I142" i="11" s="1"/>
  <c r="J142" i="11" s="1"/>
  <c r="F143" i="11" s="1"/>
  <c r="D144" i="11"/>
  <c r="G143" i="11"/>
  <c r="E143" i="11"/>
  <c r="H143" i="11" l="1"/>
  <c r="I143" i="11" s="1"/>
  <c r="J143" i="11" s="1"/>
  <c r="F144" i="11" s="1"/>
  <c r="D145" i="11"/>
  <c r="E144" i="11"/>
  <c r="G144" i="11"/>
  <c r="H144" i="11" l="1"/>
  <c r="I144" i="11" s="1"/>
  <c r="J144" i="11" s="1"/>
  <c r="F145" i="11" s="1"/>
  <c r="E145" i="11"/>
  <c r="D146" i="11"/>
  <c r="G145" i="11"/>
  <c r="H145" i="11" l="1"/>
  <c r="I145" i="11" s="1"/>
  <c r="J145" i="11" s="1"/>
  <c r="F146" i="11" s="1"/>
  <c r="E146" i="11"/>
  <c r="D147" i="11"/>
  <c r="G146" i="11"/>
  <c r="H146" i="11" l="1"/>
  <c r="I146" i="11" s="1"/>
  <c r="J146" i="11" s="1"/>
  <c r="F147" i="11" s="1"/>
  <c r="G147" i="11"/>
  <c r="E147" i="11"/>
  <c r="D148" i="11"/>
  <c r="H147" i="11" l="1"/>
  <c r="I147" i="11" s="1"/>
  <c r="J147" i="11" s="1"/>
  <c r="F148" i="11" s="1"/>
  <c r="G148" i="11"/>
  <c r="D149" i="11"/>
  <c r="E148" i="11"/>
  <c r="H148" i="11" l="1"/>
  <c r="I148" i="11" s="1"/>
  <c r="J148" i="11" s="1"/>
  <c r="F149" i="11" s="1"/>
  <c r="G149" i="11"/>
  <c r="E149" i="11"/>
  <c r="D150" i="11"/>
  <c r="H149" i="11" l="1"/>
  <c r="I149" i="11" s="1"/>
  <c r="J149" i="11" s="1"/>
  <c r="F150" i="11" s="1"/>
  <c r="D151" i="11"/>
  <c r="E150" i="11"/>
  <c r="G150" i="11"/>
  <c r="H150" i="11" l="1"/>
  <c r="I150" i="11" s="1"/>
  <c r="J150" i="11" s="1"/>
  <c r="F151" i="11" s="1"/>
  <c r="D152" i="11"/>
  <c r="E151" i="11"/>
  <c r="G151" i="11"/>
  <c r="H151" i="11" l="1"/>
  <c r="I151" i="11" s="1"/>
  <c r="J151" i="11" s="1"/>
  <c r="F152" i="11" s="1"/>
  <c r="D153" i="11"/>
  <c r="E152" i="11"/>
  <c r="G152" i="11"/>
  <c r="H152" i="11" l="1"/>
  <c r="I152" i="11" s="1"/>
  <c r="J152" i="11" s="1"/>
  <c r="F153" i="11" s="1"/>
  <c r="E153" i="11"/>
  <c r="D154" i="11"/>
  <c r="G153" i="11"/>
  <c r="H153" i="11" l="1"/>
  <c r="I153" i="11" s="1"/>
  <c r="J153" i="11" s="1"/>
  <c r="F154" i="11" s="1"/>
  <c r="E154" i="11"/>
  <c r="D155" i="11"/>
  <c r="G154" i="11"/>
  <c r="H154" i="11" l="1"/>
  <c r="I154" i="11" s="1"/>
  <c r="J154" i="11" s="1"/>
  <c r="F155" i="11" s="1"/>
  <c r="G155" i="11"/>
  <c r="E155" i="11"/>
  <c r="D156" i="11"/>
  <c r="H155" i="11" l="1"/>
  <c r="I155" i="11" s="1"/>
  <c r="J155" i="11" s="1"/>
  <c r="F156" i="11" s="1"/>
  <c r="H156" i="11" s="1"/>
  <c r="G156" i="11"/>
  <c r="E156" i="11"/>
  <c r="D157" i="11"/>
  <c r="I156" i="11" l="1"/>
  <c r="J156" i="11" s="1"/>
  <c r="G157" i="11"/>
  <c r="F157" i="11"/>
  <c r="H157" i="11" s="1"/>
  <c r="E157" i="11"/>
  <c r="D158" i="11"/>
  <c r="I157" i="11" l="1"/>
  <c r="J157" i="11" s="1"/>
  <c r="G158" i="11"/>
  <c r="F158" i="11"/>
  <c r="H158" i="11" s="1"/>
  <c r="E158" i="11"/>
  <c r="D159" i="11"/>
  <c r="I158" i="11" l="1"/>
  <c r="D160" i="11"/>
  <c r="E159" i="11"/>
  <c r="G159" i="11"/>
  <c r="J158" i="11"/>
  <c r="F159" i="11" s="1"/>
  <c r="D161" i="11" l="1"/>
  <c r="G160" i="11"/>
  <c r="E160" i="11"/>
  <c r="H159" i="11"/>
  <c r="I159" i="11" s="1"/>
  <c r="J159" i="11" s="1"/>
  <c r="F160" i="11" s="1"/>
  <c r="H160" i="11" l="1"/>
  <c r="I160" i="11" s="1"/>
  <c r="J160" i="11"/>
  <c r="D162" i="11"/>
  <c r="G161" i="11"/>
  <c r="E161" i="11"/>
  <c r="F161" i="11"/>
  <c r="H161" i="11"/>
  <c r="I161" i="11" l="1"/>
  <c r="J161" i="11" s="1"/>
  <c r="F162" i="11" s="1"/>
  <c r="E162" i="11"/>
  <c r="D163" i="11"/>
  <c r="G162" i="11"/>
  <c r="H162" i="11" l="1"/>
  <c r="I162" i="11" s="1"/>
  <c r="J162" i="11" s="1"/>
  <c r="F163" i="11" s="1"/>
  <c r="E163" i="11"/>
  <c r="G163" i="11"/>
  <c r="D164" i="11"/>
  <c r="H163" i="11" l="1"/>
  <c r="I163" i="11" s="1"/>
  <c r="J163" i="11" s="1"/>
  <c r="F164" i="11" s="1"/>
  <c r="G164" i="11"/>
  <c r="E164" i="11"/>
  <c r="D165" i="11"/>
  <c r="H164" i="11" l="1"/>
  <c r="I164" i="11" s="1"/>
  <c r="J164" i="11" s="1"/>
  <c r="F165" i="11" s="1"/>
  <c r="G165" i="11"/>
  <c r="D166" i="11"/>
  <c r="E165" i="11"/>
  <c r="H165" i="11" l="1"/>
  <c r="I165" i="11" s="1"/>
  <c r="J165" i="11" s="1"/>
  <c r="F166" i="11" s="1"/>
  <c r="G166" i="11"/>
  <c r="D167" i="11"/>
  <c r="E166" i="11"/>
  <c r="H166" i="11" l="1"/>
  <c r="I166" i="11" s="1"/>
  <c r="J166" i="11" s="1"/>
  <c r="F167" i="11" s="1"/>
  <c r="E167" i="11"/>
  <c r="G167" i="11"/>
  <c r="D168" i="11"/>
  <c r="H167" i="11" l="1"/>
  <c r="I167" i="11" s="1"/>
  <c r="J167" i="11" s="1"/>
  <c r="F168" i="11" s="1"/>
  <c r="D169" i="11"/>
  <c r="G168" i="11"/>
  <c r="E168" i="11"/>
  <c r="H168" i="11" l="1"/>
  <c r="I168" i="11" s="1"/>
  <c r="J168" i="11" s="1"/>
  <c r="F169" i="11" s="1"/>
  <c r="D170" i="11"/>
  <c r="G169" i="11"/>
  <c r="E169" i="11"/>
  <c r="H169" i="11" l="1"/>
  <c r="I169" i="11" s="1"/>
  <c r="J169" i="11" s="1"/>
  <c r="F170" i="11" s="1"/>
  <c r="E170" i="11"/>
  <c r="D171" i="11"/>
  <c r="G170" i="11"/>
  <c r="H170" i="11" l="1"/>
  <c r="I170" i="11" s="1"/>
  <c r="J170" i="11" s="1"/>
  <c r="F171" i="11" s="1"/>
  <c r="H171" i="11" s="1"/>
  <c r="I171" i="11" s="1"/>
  <c r="J171" i="11" s="1"/>
  <c r="E171" i="11"/>
  <c r="D172" i="11"/>
  <c r="G171" i="11"/>
  <c r="G172" i="11" l="1"/>
  <c r="F172" i="11"/>
  <c r="H172" i="11" s="1"/>
  <c r="E172" i="11"/>
  <c r="D173" i="11"/>
  <c r="I172" i="11" l="1"/>
  <c r="J172" i="11" s="1"/>
  <c r="F173" i="11" s="1"/>
  <c r="H173" i="11" s="1"/>
  <c r="I173" i="11" s="1"/>
  <c r="J173" i="11" s="1"/>
  <c r="G173" i="11"/>
  <c r="D174" i="11"/>
  <c r="E173" i="11"/>
  <c r="G174" i="11" l="1"/>
  <c r="F174" i="11"/>
  <c r="H174" i="11" s="1"/>
  <c r="E174" i="11"/>
  <c r="D175" i="11"/>
  <c r="I174" i="11" l="1"/>
  <c r="J174" i="11" s="1"/>
  <c r="F175" i="11" s="1"/>
  <c r="H175" i="11" s="1"/>
  <c r="E175" i="11"/>
  <c r="G175" i="11"/>
  <c r="D176" i="11"/>
  <c r="I175" i="11" l="1"/>
  <c r="J175" i="11"/>
  <c r="D177" i="11"/>
  <c r="F176" i="11"/>
  <c r="G176" i="11"/>
  <c r="E176" i="11"/>
  <c r="D178" i="11" l="1"/>
  <c r="G177" i="11"/>
  <c r="E177" i="11"/>
  <c r="H176" i="11"/>
  <c r="I176" i="11" s="1"/>
  <c r="J176" i="11" s="1"/>
  <c r="F177" i="11" s="1"/>
  <c r="H177" i="11" l="1"/>
  <c r="I177" i="11"/>
  <c r="J177" i="11" s="1"/>
  <c r="F178" i="11" s="1"/>
  <c r="E178" i="11"/>
  <c r="D179" i="11"/>
  <c r="G178" i="11"/>
  <c r="H178" i="11" l="1"/>
  <c r="I178" i="11" s="1"/>
  <c r="J178" i="11"/>
  <c r="F179" i="11" s="1"/>
  <c r="H179" i="11" s="1"/>
  <c r="I179" i="11" s="1"/>
  <c r="J179" i="11" s="1"/>
  <c r="E179" i="11"/>
  <c r="D180" i="11"/>
  <c r="G179" i="11"/>
  <c r="G180" i="11" l="1"/>
  <c r="F180" i="11"/>
  <c r="E180" i="11"/>
  <c r="D181" i="11"/>
  <c r="H180" i="11"/>
  <c r="I180" i="11" s="1"/>
  <c r="J180" i="11" s="1"/>
  <c r="G181" i="11" l="1"/>
  <c r="F181" i="11"/>
  <c r="H181" i="11" s="1"/>
  <c r="I181" i="11" s="1"/>
  <c r="J181" i="11" s="1"/>
  <c r="D182" i="11"/>
  <c r="E181" i="11"/>
  <c r="G182" i="11" l="1"/>
  <c r="D183" i="11"/>
  <c r="E182" i="11"/>
  <c r="F182" i="11"/>
  <c r="H182" i="11" s="1"/>
  <c r="I182" i="11" l="1"/>
  <c r="E183" i="11"/>
  <c r="G183" i="11"/>
  <c r="D184" i="11"/>
  <c r="J182" i="11"/>
  <c r="F183" i="11" s="1"/>
  <c r="H183" i="11" s="1"/>
  <c r="I183" i="11" l="1"/>
  <c r="J183" i="11" s="1"/>
  <c r="F184" i="11" s="1"/>
  <c r="D185" i="11"/>
  <c r="G184" i="11"/>
  <c r="E184" i="11"/>
  <c r="H184" i="11" l="1"/>
  <c r="I184" i="11" s="1"/>
  <c r="J184" i="11" s="1"/>
  <c r="F185" i="11" s="1"/>
  <c r="D186" i="11"/>
  <c r="G185" i="11"/>
  <c r="E185" i="11"/>
  <c r="H185" i="11" l="1"/>
  <c r="I185" i="11"/>
  <c r="J185" i="11" s="1"/>
  <c r="F186" i="11" s="1"/>
  <c r="E186" i="11"/>
  <c r="D187" i="11"/>
  <c r="G186" i="11"/>
  <c r="H186" i="11" l="1"/>
  <c r="I186" i="11" s="1"/>
  <c r="J186" i="11" s="1"/>
  <c r="F187" i="11" s="1"/>
  <c r="E187" i="11"/>
  <c r="D188" i="11"/>
  <c r="G187" i="11"/>
  <c r="H187" i="11" l="1"/>
  <c r="I187" i="11" s="1"/>
  <c r="J187" i="11" s="1"/>
  <c r="F188" i="11" s="1"/>
  <c r="G188" i="11"/>
  <c r="E188" i="11"/>
  <c r="D189" i="11"/>
  <c r="H188" i="11" l="1"/>
  <c r="I188" i="11" s="1"/>
  <c r="J188" i="11" s="1"/>
  <c r="F189" i="11" s="1"/>
  <c r="H189" i="11" s="1"/>
  <c r="G189" i="11"/>
  <c r="D190" i="11"/>
  <c r="E189" i="11"/>
  <c r="I189" i="11" l="1"/>
  <c r="J189" i="11" s="1"/>
  <c r="G190" i="11"/>
  <c r="F190" i="11"/>
  <c r="H190" i="11" s="1"/>
  <c r="E190" i="11"/>
  <c r="D191" i="11"/>
  <c r="I190" i="11" l="1"/>
  <c r="J190" i="11" s="1"/>
  <c r="E191" i="11"/>
  <c r="F191" i="11"/>
  <c r="D192" i="11"/>
  <c r="G191" i="11"/>
  <c r="D193" i="11" l="1"/>
  <c r="G192" i="11"/>
  <c r="E192" i="11"/>
  <c r="H191" i="11"/>
  <c r="I191" i="11" s="1"/>
  <c r="J191" i="11" s="1"/>
  <c r="F192" i="11" s="1"/>
  <c r="H192" i="11" l="1"/>
  <c r="I192" i="11" s="1"/>
  <c r="J192" i="11" s="1"/>
  <c r="F193" i="11" s="1"/>
  <c r="D194" i="11"/>
  <c r="G193" i="11"/>
  <c r="E193" i="11"/>
  <c r="H193" i="11" l="1"/>
  <c r="I193" i="11" s="1"/>
  <c r="J193" i="11" s="1"/>
  <c r="F194" i="11" s="1"/>
  <c r="E194" i="11"/>
  <c r="D195" i="11"/>
  <c r="G194" i="11"/>
  <c r="H194" i="11" l="1"/>
  <c r="I194" i="11" s="1"/>
  <c r="J194" i="11" s="1"/>
  <c r="F195" i="11" s="1"/>
  <c r="E195" i="11"/>
  <c r="G195" i="11"/>
  <c r="D196" i="11"/>
  <c r="H195" i="11" l="1"/>
  <c r="I195" i="11" s="1"/>
  <c r="J195" i="11"/>
  <c r="G196" i="11"/>
  <c r="F196" i="11"/>
  <c r="H196" i="11" s="1"/>
  <c r="I196" i="11" s="1"/>
  <c r="J196" i="11" s="1"/>
  <c r="E196" i="11"/>
  <c r="D197" i="11"/>
  <c r="G197" i="11" l="1"/>
  <c r="F197" i="11"/>
  <c r="H197" i="11" s="1"/>
  <c r="I197" i="11" s="1"/>
  <c r="J197" i="11" s="1"/>
  <c r="D198" i="11"/>
  <c r="E197" i="11"/>
  <c r="G198" i="11" l="1"/>
  <c r="D199" i="11"/>
  <c r="E198" i="11"/>
  <c r="F198" i="11"/>
  <c r="H198" i="11" l="1"/>
  <c r="I198" i="11" s="1"/>
  <c r="J198" i="11" s="1"/>
  <c r="F199" i="11" s="1"/>
  <c r="E199" i="11"/>
  <c r="G199" i="11"/>
  <c r="D200" i="11"/>
  <c r="H199" i="11" l="1"/>
  <c r="I199" i="11" s="1"/>
  <c r="J199" i="11" s="1"/>
  <c r="F200" i="11" s="1"/>
  <c r="D201" i="11"/>
  <c r="G200" i="11"/>
  <c r="E200" i="11"/>
  <c r="H200" i="11" l="1"/>
  <c r="I200" i="11" s="1"/>
  <c r="J200" i="11" s="1"/>
  <c r="F201" i="11" s="1"/>
  <c r="D202" i="11"/>
  <c r="G201" i="11"/>
  <c r="E201" i="11"/>
  <c r="H201" i="11" l="1"/>
  <c r="I201" i="11" s="1"/>
  <c r="J201" i="11" s="1"/>
  <c r="F202" i="11" s="1"/>
  <c r="E202" i="11"/>
  <c r="D203" i="11"/>
  <c r="G202" i="11"/>
  <c r="H202" i="11" l="1"/>
  <c r="I202" i="11"/>
  <c r="J202" i="11" s="1"/>
  <c r="F203" i="11" s="1"/>
  <c r="E203" i="11"/>
  <c r="D204" i="11"/>
  <c r="G203" i="11"/>
  <c r="H203" i="11" l="1"/>
  <c r="I203" i="11" s="1"/>
  <c r="J203" i="11"/>
  <c r="G204" i="11"/>
  <c r="F204" i="11"/>
  <c r="H204" i="11" s="1"/>
  <c r="E204" i="11"/>
  <c r="D205" i="11"/>
  <c r="I204" i="11" l="1"/>
  <c r="J204" i="11" s="1"/>
  <c r="G205" i="11"/>
  <c r="F205" i="11"/>
  <c r="H205" i="11" s="1"/>
  <c r="I205" i="11" s="1"/>
  <c r="J205" i="11" s="1"/>
  <c r="D206" i="11"/>
  <c r="E205" i="11"/>
  <c r="G206" i="11" l="1"/>
  <c r="F206" i="11"/>
  <c r="H206" i="11" s="1"/>
  <c r="E206" i="11"/>
  <c r="D207" i="11"/>
  <c r="I206" i="11" l="1"/>
  <c r="J206" i="11" s="1"/>
  <c r="E207" i="11"/>
  <c r="F207" i="11"/>
  <c r="G207" i="11"/>
  <c r="D208" i="11"/>
  <c r="D209" i="11" l="1"/>
  <c r="G208" i="11"/>
  <c r="E208" i="11"/>
  <c r="H207" i="11"/>
  <c r="I207" i="11" s="1"/>
  <c r="J207" i="11" s="1"/>
  <c r="F208" i="11" s="1"/>
  <c r="H208" i="11" l="1"/>
  <c r="I208" i="11"/>
  <c r="J208" i="11" s="1"/>
  <c r="F209" i="11" s="1"/>
  <c r="D210" i="11"/>
  <c r="G209" i="11"/>
  <c r="E209" i="11"/>
  <c r="H209" i="11" l="1"/>
  <c r="I209" i="11" s="1"/>
  <c r="J209" i="11" s="1"/>
  <c r="F210" i="11" s="1"/>
  <c r="E210" i="11"/>
  <c r="D211" i="11"/>
  <c r="G210" i="11"/>
  <c r="H210" i="11" l="1"/>
  <c r="I210" i="11" s="1"/>
  <c r="J210" i="11" s="1"/>
  <c r="F211" i="11" s="1"/>
  <c r="E211" i="11"/>
  <c r="D212" i="11"/>
  <c r="G211" i="11"/>
  <c r="H211" i="11" l="1"/>
  <c r="I211" i="11" s="1"/>
  <c r="J211" i="11" s="1"/>
  <c r="F212" i="11" s="1"/>
  <c r="G212" i="11"/>
  <c r="E212" i="11"/>
  <c r="D213" i="11"/>
  <c r="H212" i="11" l="1"/>
  <c r="I212" i="11" s="1"/>
  <c r="J212" i="11"/>
  <c r="G213" i="11"/>
  <c r="F213" i="11"/>
  <c r="H213" i="11" s="1"/>
  <c r="D214" i="11"/>
  <c r="E213" i="11"/>
  <c r="I213" i="11" l="1"/>
  <c r="J213" i="11"/>
  <c r="F214" i="11" s="1"/>
  <c r="G214" i="11"/>
  <c r="D215" i="11"/>
  <c r="E214" i="11"/>
  <c r="H214" i="11" l="1"/>
  <c r="I214" i="11" s="1"/>
  <c r="J214" i="11" s="1"/>
  <c r="F215" i="11" s="1"/>
  <c r="E215" i="11"/>
  <c r="G215" i="11"/>
  <c r="D216" i="11"/>
  <c r="H215" i="11" l="1"/>
  <c r="I215" i="11" s="1"/>
  <c r="J215" i="11" s="1"/>
  <c r="F216" i="11" s="1"/>
  <c r="D217" i="11"/>
  <c r="G216" i="11"/>
  <c r="E216" i="11"/>
  <c r="H216" i="11" l="1"/>
  <c r="I216" i="11" s="1"/>
  <c r="J216" i="11" s="1"/>
  <c r="F217" i="11" s="1"/>
  <c r="D218" i="11"/>
  <c r="G217" i="11"/>
  <c r="E217" i="11"/>
  <c r="H217" i="11" l="1"/>
  <c r="I217" i="11" s="1"/>
  <c r="J217" i="11" s="1"/>
  <c r="F218" i="11" s="1"/>
  <c r="E218" i="11"/>
  <c r="D219" i="11"/>
  <c r="G218" i="11"/>
  <c r="H218" i="11" l="1"/>
  <c r="I218" i="11" s="1"/>
  <c r="J218" i="11" s="1"/>
  <c r="F219" i="11" s="1"/>
  <c r="E219" i="11"/>
  <c r="D220" i="11"/>
  <c r="G219" i="11"/>
  <c r="H219" i="11" l="1"/>
  <c r="I219" i="11" s="1"/>
  <c r="J219" i="11"/>
  <c r="G220" i="11"/>
  <c r="F220" i="11"/>
  <c r="H220" i="11" s="1"/>
  <c r="I220" i="11" s="1"/>
  <c r="E220" i="11"/>
  <c r="D221" i="11"/>
  <c r="G221" i="11" l="1"/>
  <c r="D222" i="11"/>
  <c r="E221" i="11"/>
  <c r="J220" i="11"/>
  <c r="F221" i="11" s="1"/>
  <c r="H221" i="11" l="1"/>
  <c r="I221" i="11" s="1"/>
  <c r="J221" i="11"/>
  <c r="G222" i="11"/>
  <c r="F222" i="11"/>
  <c r="E222" i="11"/>
  <c r="D223" i="11"/>
  <c r="H222" i="11" l="1"/>
  <c r="I222" i="11" s="1"/>
  <c r="J222" i="11" s="1"/>
  <c r="F223" i="11" s="1"/>
  <c r="E223" i="11"/>
  <c r="G223" i="11"/>
  <c r="D224" i="11"/>
  <c r="H223" i="11" l="1"/>
  <c r="I223" i="11" s="1"/>
  <c r="J223" i="11" s="1"/>
  <c r="F224" i="11" s="1"/>
  <c r="D225" i="11"/>
  <c r="G224" i="11"/>
  <c r="E224" i="11"/>
  <c r="H224" i="11" l="1"/>
  <c r="I224" i="11" s="1"/>
  <c r="J224" i="11" s="1"/>
  <c r="F225" i="11" s="1"/>
  <c r="D226" i="11"/>
  <c r="G225" i="11"/>
  <c r="E225" i="11"/>
  <c r="H225" i="11" l="1"/>
  <c r="I225" i="11" s="1"/>
  <c r="J225" i="11" s="1"/>
  <c r="F226" i="11" s="1"/>
  <c r="E226" i="11"/>
  <c r="D227" i="11"/>
  <c r="G226" i="11"/>
  <c r="H226" i="11" l="1"/>
  <c r="I226" i="11" s="1"/>
  <c r="J226" i="11" s="1"/>
  <c r="F227" i="11" s="1"/>
  <c r="E227" i="11"/>
  <c r="D228" i="11"/>
  <c r="G227" i="11"/>
  <c r="H227" i="11" l="1"/>
  <c r="I227" i="11" s="1"/>
  <c r="J227" i="11"/>
  <c r="G228" i="11"/>
  <c r="F228" i="11"/>
  <c r="H228" i="11" s="1"/>
  <c r="E228" i="11"/>
  <c r="D229" i="11"/>
  <c r="I228" i="11" l="1"/>
  <c r="J228" i="11" s="1"/>
  <c r="G229" i="11"/>
  <c r="F229" i="11"/>
  <c r="H229" i="11" s="1"/>
  <c r="I229" i="11" s="1"/>
  <c r="J229" i="11" s="1"/>
  <c r="E229" i="11"/>
  <c r="D230" i="11"/>
  <c r="G230" i="11" l="1"/>
  <c r="F230" i="11"/>
  <c r="H230" i="11" s="1"/>
  <c r="D231" i="11"/>
  <c r="E230" i="11"/>
  <c r="I230" i="11" l="1"/>
  <c r="J230" i="11" s="1"/>
  <c r="G231" i="11"/>
  <c r="E231" i="11"/>
  <c r="D232" i="11"/>
  <c r="F231" i="11"/>
  <c r="H231" i="11" l="1"/>
  <c r="I231" i="11" s="1"/>
  <c r="J231" i="11" s="1"/>
  <c r="F232" i="11" s="1"/>
  <c r="D233" i="11"/>
  <c r="E232" i="11"/>
  <c r="G232" i="11"/>
  <c r="H232" i="11" l="1"/>
  <c r="I232" i="11" s="1"/>
  <c r="J232" i="11"/>
  <c r="D234" i="11"/>
  <c r="G233" i="11"/>
  <c r="F233" i="11"/>
  <c r="E233" i="11"/>
  <c r="E234" i="11" l="1"/>
  <c r="D235" i="11"/>
  <c r="G234" i="11"/>
  <c r="H233" i="11"/>
  <c r="I233" i="11" s="1"/>
  <c r="J233" i="11" s="1"/>
  <c r="F234" i="11" s="1"/>
  <c r="H234" i="11" l="1"/>
  <c r="I234" i="11" s="1"/>
  <c r="J234" i="11"/>
  <c r="F235" i="11"/>
  <c r="E235" i="11"/>
  <c r="D236" i="11"/>
  <c r="G235" i="11"/>
  <c r="H235" i="11"/>
  <c r="I235" i="11" l="1"/>
  <c r="J235" i="11"/>
  <c r="G236" i="11"/>
  <c r="F236" i="11"/>
  <c r="E236" i="11"/>
  <c r="D237" i="11"/>
  <c r="H236" i="11"/>
  <c r="I236" i="11" s="1"/>
  <c r="J236" i="11" s="1"/>
  <c r="G237" i="11" l="1"/>
  <c r="F237" i="11"/>
  <c r="H237" i="11" s="1"/>
  <c r="I237" i="11" s="1"/>
  <c r="J237" i="11" s="1"/>
  <c r="E237" i="11"/>
  <c r="D238" i="11"/>
  <c r="G238" i="11" l="1"/>
  <c r="F238" i="11"/>
  <c r="H238" i="11" s="1"/>
  <c r="E238" i="11"/>
  <c r="D239" i="11"/>
  <c r="I238" i="11" l="1"/>
  <c r="J238" i="11" s="1"/>
  <c r="G239" i="11"/>
  <c r="E239" i="11"/>
  <c r="D240" i="11"/>
  <c r="F239" i="11"/>
  <c r="D241" i="11" l="1"/>
  <c r="E240" i="11"/>
  <c r="G240" i="11"/>
  <c r="H239" i="11"/>
  <c r="I239" i="11" s="1"/>
  <c r="J239" i="11" s="1"/>
  <c r="F240" i="11" s="1"/>
  <c r="H240" i="11" l="1"/>
  <c r="I240" i="11" s="1"/>
  <c r="J240" i="11"/>
  <c r="D242" i="11"/>
  <c r="G241" i="11"/>
  <c r="F241" i="11"/>
  <c r="E241" i="11"/>
  <c r="H241" i="11" l="1"/>
  <c r="I241" i="11" s="1"/>
  <c r="J241" i="11" s="1"/>
  <c r="F242" i="11" s="1"/>
  <c r="E242" i="11"/>
  <c r="D243" i="11"/>
  <c r="G242" i="11"/>
  <c r="H242" i="11" l="1"/>
  <c r="I242" i="11" s="1"/>
  <c r="J242" i="11" s="1"/>
  <c r="F243" i="11" s="1"/>
  <c r="E243" i="11"/>
  <c r="D244" i="11"/>
  <c r="G243" i="11"/>
  <c r="H243" i="11" l="1"/>
  <c r="I243" i="11" s="1"/>
  <c r="J243" i="11" s="1"/>
  <c r="F244" i="11" s="1"/>
  <c r="G244" i="11"/>
  <c r="E244" i="11"/>
  <c r="D245" i="11"/>
  <c r="H244" i="11" l="1"/>
  <c r="I244" i="11" s="1"/>
  <c r="J244" i="11" s="1"/>
  <c r="F245" i="11" s="1"/>
  <c r="G245" i="11"/>
  <c r="E245" i="11"/>
  <c r="D246" i="11"/>
  <c r="H245" i="11" l="1"/>
  <c r="I245" i="11" s="1"/>
  <c r="J245" i="11" s="1"/>
  <c r="F246" i="11" s="1"/>
  <c r="G246" i="11"/>
  <c r="E246" i="11"/>
  <c r="D247" i="11"/>
  <c r="H246" i="11" l="1"/>
  <c r="I246" i="11" s="1"/>
  <c r="J246" i="11" s="1"/>
  <c r="F247" i="11" s="1"/>
  <c r="G247" i="11"/>
  <c r="E247" i="11"/>
  <c r="D248" i="11"/>
  <c r="H247" i="11" l="1"/>
  <c r="I247" i="11" s="1"/>
  <c r="J247" i="11" s="1"/>
  <c r="F248" i="11" s="1"/>
  <c r="D249" i="11"/>
  <c r="G248" i="11"/>
  <c r="E248" i="11"/>
  <c r="H248" i="11" l="1"/>
  <c r="I248" i="11" s="1"/>
  <c r="J248" i="11"/>
  <c r="D250" i="11"/>
  <c r="G249" i="11"/>
  <c r="F249" i="11"/>
  <c r="H249" i="11" s="1"/>
  <c r="E249" i="11"/>
  <c r="I249" i="11" l="1"/>
  <c r="J249" i="11"/>
  <c r="F250" i="11" s="1"/>
  <c r="E250" i="11"/>
  <c r="D251" i="11"/>
  <c r="G250" i="11"/>
  <c r="H250" i="11" l="1"/>
  <c r="I250" i="11" s="1"/>
  <c r="J250" i="11"/>
  <c r="F251" i="11"/>
  <c r="H251" i="11" s="1"/>
  <c r="E251" i="11"/>
  <c r="D252" i="11"/>
  <c r="G251" i="11"/>
  <c r="I251" i="11" l="1"/>
  <c r="J251" i="11" s="1"/>
  <c r="G252" i="11"/>
  <c r="F252" i="11"/>
  <c r="E252" i="11"/>
  <c r="H252" i="11"/>
  <c r="D253" i="11"/>
  <c r="I252" i="11"/>
  <c r="J252" i="11" l="1"/>
  <c r="G253" i="11"/>
  <c r="F253" i="11"/>
  <c r="H253" i="11" s="1"/>
  <c r="I253" i="11" s="1"/>
  <c r="J253" i="11" s="1"/>
  <c r="E253" i="11"/>
  <c r="D254" i="11"/>
  <c r="G254" i="11" l="1"/>
  <c r="F254" i="11"/>
  <c r="H254" i="11" s="1"/>
  <c r="D255" i="11"/>
  <c r="E254" i="11"/>
  <c r="I254" i="11" l="1"/>
  <c r="J254" i="11"/>
  <c r="G255" i="11"/>
  <c r="E255" i="11"/>
  <c r="F255" i="11"/>
  <c r="D256" i="11"/>
  <c r="H255" i="11" l="1"/>
  <c r="I255" i="11" s="1"/>
  <c r="J255" i="11" s="1"/>
  <c r="F256" i="11" s="1"/>
  <c r="D257" i="11"/>
  <c r="G256" i="11"/>
  <c r="E256" i="11"/>
  <c r="H256" i="11" l="1"/>
  <c r="I256" i="11" s="1"/>
  <c r="J256" i="11" s="1"/>
  <c r="F257" i="11" s="1"/>
  <c r="D258" i="11"/>
  <c r="G257" i="11"/>
  <c r="E257" i="11"/>
  <c r="H257" i="11" l="1"/>
  <c r="I257" i="11" s="1"/>
  <c r="J257" i="11" s="1"/>
  <c r="F258" i="11" s="1"/>
  <c r="E258" i="11"/>
  <c r="D259" i="11"/>
  <c r="G258" i="11"/>
  <c r="H258" i="11" l="1"/>
  <c r="I258" i="11" s="1"/>
  <c r="J258" i="11" s="1"/>
  <c r="F259" i="11" s="1"/>
  <c r="E259" i="11"/>
  <c r="D260" i="11"/>
  <c r="G259" i="11"/>
  <c r="H259" i="11" l="1"/>
  <c r="I259" i="11" s="1"/>
  <c r="J259" i="11" s="1"/>
  <c r="F260" i="11" s="1"/>
  <c r="G260" i="11"/>
  <c r="E260" i="11"/>
  <c r="D261" i="11"/>
  <c r="H260" i="11" l="1"/>
  <c r="I260" i="11" s="1"/>
  <c r="J260" i="11"/>
  <c r="G261" i="11"/>
  <c r="F261" i="11"/>
  <c r="E261" i="11"/>
  <c r="D262" i="11"/>
  <c r="G262" i="11" l="1"/>
  <c r="D263" i="11"/>
  <c r="E262" i="11"/>
  <c r="H261" i="11"/>
  <c r="I261" i="11" s="1"/>
  <c r="J261" i="11" s="1"/>
  <c r="F262" i="11" s="1"/>
  <c r="H262" i="11" l="1"/>
  <c r="I262" i="11" s="1"/>
  <c r="J262" i="11" s="1"/>
  <c r="F263" i="11" s="1"/>
  <c r="G263" i="11"/>
  <c r="E263" i="11"/>
  <c r="D264" i="11"/>
  <c r="H263" i="11" l="1"/>
  <c r="I263" i="11" s="1"/>
  <c r="J263" i="11" s="1"/>
  <c r="F264" i="11" s="1"/>
  <c r="D265" i="11"/>
  <c r="G264" i="11"/>
  <c r="E264" i="11"/>
  <c r="H264" i="11" l="1"/>
  <c r="I264" i="11" s="1"/>
  <c r="J264" i="11" s="1"/>
  <c r="F265" i="11" s="1"/>
  <c r="D266" i="11"/>
  <c r="G265" i="11"/>
  <c r="E265" i="11"/>
  <c r="H265" i="11" l="1"/>
  <c r="I265" i="11" s="1"/>
  <c r="J265" i="11" s="1"/>
  <c r="F266" i="11" s="1"/>
  <c r="E266" i="11"/>
  <c r="D267" i="11"/>
  <c r="G266" i="11"/>
  <c r="H266" i="11" l="1"/>
  <c r="I266" i="11" s="1"/>
  <c r="J266" i="11" s="1"/>
  <c r="F267" i="11" s="1"/>
  <c r="H267" i="11" s="1"/>
  <c r="E267" i="11"/>
  <c r="D268" i="11"/>
  <c r="G267" i="11"/>
  <c r="I267" i="11" l="1"/>
  <c r="J267" i="11"/>
  <c r="G268" i="11"/>
  <c r="F268" i="11"/>
  <c r="H268" i="11" s="1"/>
  <c r="I268" i="11" s="1"/>
  <c r="J268" i="11" s="1"/>
  <c r="E268" i="11"/>
  <c r="D269" i="11"/>
  <c r="G269" i="11" l="1"/>
  <c r="F269" i="11"/>
  <c r="H269" i="11" s="1"/>
  <c r="I269" i="11" s="1"/>
  <c r="J269" i="11" s="1"/>
  <c r="E269" i="11"/>
  <c r="D270" i="11"/>
  <c r="G270" i="11" l="1"/>
  <c r="F270" i="11"/>
  <c r="H270" i="11" s="1"/>
  <c r="E270" i="11"/>
  <c r="D271" i="11"/>
  <c r="I270" i="11" l="1"/>
  <c r="J270" i="11" s="1"/>
  <c r="G271" i="11"/>
  <c r="E271" i="11"/>
  <c r="D272" i="11"/>
  <c r="F271" i="11"/>
  <c r="D273" i="11" l="1"/>
  <c r="E272" i="11"/>
  <c r="G272" i="11"/>
  <c r="H271" i="11"/>
  <c r="I271" i="11" s="1"/>
  <c r="J271" i="11" s="1"/>
  <c r="F272" i="11" s="1"/>
  <c r="H272" i="11" l="1"/>
  <c r="I272" i="11" s="1"/>
  <c r="J272" i="11" s="1"/>
  <c r="F273" i="11" s="1"/>
  <c r="D274" i="11"/>
  <c r="G273" i="11"/>
  <c r="E273" i="11"/>
  <c r="H273" i="11" l="1"/>
  <c r="I273" i="11" s="1"/>
  <c r="J273" i="11" s="1"/>
  <c r="F274" i="11" s="1"/>
  <c r="E274" i="11"/>
  <c r="D275" i="11"/>
  <c r="G274" i="11"/>
  <c r="H274" i="11" l="1"/>
  <c r="I274" i="11" s="1"/>
  <c r="J274" i="11" s="1"/>
  <c r="F275" i="11" s="1"/>
  <c r="E275" i="11"/>
  <c r="D276" i="11"/>
  <c r="G275" i="11"/>
  <c r="H275" i="11" l="1"/>
  <c r="I275" i="11" s="1"/>
  <c r="J275" i="11"/>
  <c r="G276" i="11"/>
  <c r="F276" i="11"/>
  <c r="H276" i="11" s="1"/>
  <c r="I276" i="11" s="1"/>
  <c r="J276" i="11" s="1"/>
  <c r="E276" i="11"/>
  <c r="D277" i="11"/>
  <c r="G277" i="11" l="1"/>
  <c r="F277" i="11"/>
  <c r="H277" i="11" s="1"/>
  <c r="I277" i="11" s="1"/>
  <c r="J277" i="11" s="1"/>
  <c r="E277" i="11"/>
  <c r="D278" i="11"/>
  <c r="G278" i="11" l="1"/>
  <c r="F278" i="11"/>
  <c r="H278" i="11" s="1"/>
  <c r="D279" i="11"/>
  <c r="E278" i="11"/>
  <c r="I278" i="11" l="1"/>
  <c r="J278" i="11" s="1"/>
  <c r="G279" i="11"/>
  <c r="E279" i="11"/>
  <c r="D280" i="11"/>
  <c r="F279" i="11"/>
  <c r="D281" i="11" l="1"/>
  <c r="G280" i="11"/>
  <c r="E280" i="11"/>
  <c r="H279" i="11"/>
  <c r="I279" i="11" s="1"/>
  <c r="J279" i="11" s="1"/>
  <c r="F280" i="11" s="1"/>
  <c r="H280" i="11" l="1"/>
  <c r="I280" i="11"/>
  <c r="J280" i="11" s="1"/>
  <c r="F281" i="11" s="1"/>
  <c r="D282" i="11"/>
  <c r="G281" i="11"/>
  <c r="E281" i="11"/>
  <c r="H281" i="11" l="1"/>
  <c r="I281" i="11" s="1"/>
  <c r="J281" i="11" s="1"/>
  <c r="F282" i="11" s="1"/>
  <c r="E282" i="11"/>
  <c r="D283" i="11"/>
  <c r="G282" i="11"/>
  <c r="H282" i="11" l="1"/>
  <c r="I282" i="11" s="1"/>
  <c r="J282" i="11"/>
  <c r="F283" i="11" s="1"/>
  <c r="E283" i="11"/>
  <c r="D284" i="11"/>
  <c r="G283" i="11"/>
  <c r="H283" i="11" l="1"/>
  <c r="I283" i="11" s="1"/>
  <c r="J283" i="11" s="1"/>
  <c r="F284" i="11" s="1"/>
  <c r="G284" i="11"/>
  <c r="E284" i="11"/>
  <c r="D285" i="11"/>
  <c r="H284" i="11" l="1"/>
  <c r="I284" i="11" s="1"/>
  <c r="J284" i="11" s="1"/>
  <c r="F285" i="11" s="1"/>
  <c r="G285" i="11"/>
  <c r="E285" i="11"/>
  <c r="D286" i="11"/>
  <c r="H285" i="11" l="1"/>
  <c r="I285" i="11" s="1"/>
  <c r="J285" i="11" s="1"/>
  <c r="F286" i="11" s="1"/>
  <c r="G286" i="11"/>
  <c r="D287" i="11"/>
  <c r="E286" i="11"/>
  <c r="H286" i="11" l="1"/>
  <c r="I286" i="11" s="1"/>
  <c r="J286" i="11" s="1"/>
  <c r="F287" i="11" s="1"/>
  <c r="G287" i="11"/>
  <c r="E287" i="11"/>
  <c r="D288" i="11"/>
  <c r="H287" i="11" l="1"/>
  <c r="I287" i="11" s="1"/>
  <c r="J287" i="11" s="1"/>
  <c r="F288" i="11" s="1"/>
  <c r="D289" i="11"/>
  <c r="G288" i="11"/>
  <c r="E288" i="11"/>
  <c r="H288" i="11" l="1"/>
  <c r="I288" i="11" s="1"/>
  <c r="J288" i="11"/>
  <c r="F289" i="11" s="1"/>
  <c r="D290" i="11"/>
  <c r="G289" i="11"/>
  <c r="E289" i="11"/>
  <c r="H289" i="11" l="1"/>
  <c r="I289" i="11" s="1"/>
  <c r="J289" i="11" s="1"/>
  <c r="F290" i="11" s="1"/>
  <c r="E290" i="11"/>
  <c r="D291" i="11"/>
  <c r="G290" i="11"/>
  <c r="H290" i="11" l="1"/>
  <c r="I290" i="11" s="1"/>
  <c r="J290" i="11"/>
  <c r="F291" i="11" s="1"/>
  <c r="H291" i="11" s="1"/>
  <c r="E291" i="11"/>
  <c r="D292" i="11"/>
  <c r="G291" i="11"/>
  <c r="I291" i="11" l="1"/>
  <c r="J291" i="11" s="1"/>
  <c r="G292" i="11"/>
  <c r="F292" i="11"/>
  <c r="H292" i="11" s="1"/>
  <c r="I292" i="11" s="1"/>
  <c r="J292" i="11" s="1"/>
  <c r="E292" i="11"/>
  <c r="D293" i="11"/>
  <c r="G293" i="11" l="1"/>
  <c r="F293" i="11"/>
  <c r="H293" i="11" s="1"/>
  <c r="I293" i="11" s="1"/>
  <c r="J293" i="11" s="1"/>
  <c r="E293" i="11"/>
  <c r="D294" i="11"/>
  <c r="G294" i="11" l="1"/>
  <c r="F294" i="11"/>
  <c r="H294" i="11" s="1"/>
  <c r="D295" i="11"/>
  <c r="E294" i="11"/>
  <c r="I294" i="11" l="1"/>
  <c r="J294" i="11"/>
  <c r="F295" i="11" s="1"/>
  <c r="G295" i="11"/>
  <c r="E295" i="11"/>
  <c r="D296" i="11"/>
  <c r="H295" i="11" l="1"/>
  <c r="I295" i="11" s="1"/>
  <c r="J295" i="11" s="1"/>
  <c r="F296" i="11" s="1"/>
  <c r="D297" i="11"/>
  <c r="E296" i="11"/>
  <c r="G296" i="11"/>
  <c r="H296" i="11" l="1"/>
  <c r="I296" i="11" s="1"/>
  <c r="J296" i="11" s="1"/>
  <c r="F297" i="11" s="1"/>
  <c r="D298" i="11"/>
  <c r="G297" i="11"/>
  <c r="E297" i="11"/>
  <c r="H297" i="11" l="1"/>
  <c r="I297" i="11" s="1"/>
  <c r="J297" i="11" s="1"/>
  <c r="F298" i="11" s="1"/>
  <c r="E298" i="11"/>
  <c r="D299" i="11"/>
  <c r="G298" i="11"/>
  <c r="H298" i="11" l="1"/>
  <c r="I298" i="11" s="1"/>
  <c r="J298" i="11" s="1"/>
  <c r="F299" i="11" s="1"/>
  <c r="E299" i="11"/>
  <c r="D300" i="11"/>
  <c r="G299" i="11"/>
  <c r="H299" i="11" l="1"/>
  <c r="I299" i="11" s="1"/>
  <c r="J299" i="11" s="1"/>
  <c r="F300" i="11" s="1"/>
  <c r="G300" i="11"/>
  <c r="E300" i="11"/>
  <c r="D301" i="11"/>
  <c r="H300" i="11" l="1"/>
  <c r="I300" i="11" s="1"/>
  <c r="J300" i="11" s="1"/>
  <c r="F301" i="11" s="1"/>
  <c r="G301" i="11"/>
  <c r="E301" i="11"/>
  <c r="D302" i="11"/>
  <c r="H301" i="11" l="1"/>
  <c r="I301" i="11" s="1"/>
  <c r="J301" i="11" s="1"/>
  <c r="F302" i="11" s="1"/>
  <c r="G302" i="11"/>
  <c r="E302" i="11"/>
  <c r="D303" i="11"/>
  <c r="H302" i="11" l="1"/>
  <c r="I302" i="11" s="1"/>
  <c r="J302" i="11" s="1"/>
  <c r="F303" i="11" s="1"/>
  <c r="G303" i="11"/>
  <c r="E303" i="11"/>
  <c r="D304" i="11"/>
  <c r="H303" i="11" l="1"/>
  <c r="I303" i="11" s="1"/>
  <c r="J303" i="11" s="1"/>
  <c r="F304" i="11" s="1"/>
  <c r="D305" i="11"/>
  <c r="E304" i="11"/>
  <c r="G304" i="11"/>
  <c r="H304" i="11" l="1"/>
  <c r="I304" i="11" s="1"/>
  <c r="J304" i="11"/>
  <c r="D306" i="11"/>
  <c r="G305" i="11"/>
  <c r="F305" i="11"/>
  <c r="H305" i="11"/>
  <c r="E305" i="11"/>
  <c r="I305" i="11" l="1"/>
  <c r="J305" i="11" s="1"/>
  <c r="F306" i="11" s="1"/>
  <c r="E306" i="11"/>
  <c r="D307" i="11"/>
  <c r="G306" i="11"/>
  <c r="H306" i="11" l="1"/>
  <c r="I306" i="11" s="1"/>
  <c r="J306" i="11" s="1"/>
  <c r="F307" i="11" s="1"/>
  <c r="E307" i="11"/>
  <c r="D308" i="11"/>
  <c r="G307" i="11"/>
  <c r="H307" i="11" l="1"/>
  <c r="I307" i="11" s="1"/>
  <c r="J307" i="11" s="1"/>
  <c r="F308" i="11" s="1"/>
  <c r="G308" i="11"/>
  <c r="E308" i="11"/>
  <c r="D309" i="11"/>
  <c r="H308" i="11" l="1"/>
  <c r="I308" i="11" s="1"/>
  <c r="J308" i="11" s="1"/>
  <c r="F309" i="11" s="1"/>
  <c r="G309" i="11"/>
  <c r="E309" i="11"/>
  <c r="D310" i="11"/>
  <c r="H309" i="11" l="1"/>
  <c r="I309" i="11" s="1"/>
  <c r="J309" i="11" s="1"/>
  <c r="F310" i="11" s="1"/>
  <c r="G310" i="11"/>
  <c r="E310" i="11"/>
  <c r="D311" i="11"/>
  <c r="H310" i="11" l="1"/>
  <c r="I310" i="11" s="1"/>
  <c r="J310" i="11" s="1"/>
  <c r="F311" i="11" s="1"/>
  <c r="G311" i="11"/>
  <c r="E311" i="11"/>
  <c r="D312" i="11"/>
  <c r="H311" i="11" l="1"/>
  <c r="I311" i="11" s="1"/>
  <c r="J311" i="11" s="1"/>
  <c r="F312" i="11" s="1"/>
  <c r="D313" i="11"/>
  <c r="G312" i="11"/>
  <c r="E312" i="11"/>
  <c r="H312" i="11" l="1"/>
  <c r="I312" i="11" s="1"/>
  <c r="J312" i="11" s="1"/>
  <c r="F313" i="11" s="1"/>
  <c r="D314" i="11"/>
  <c r="G313" i="11"/>
  <c r="E313" i="11"/>
  <c r="H313" i="11" l="1"/>
  <c r="I313" i="11" s="1"/>
  <c r="J313" i="11" s="1"/>
  <c r="F314" i="11" s="1"/>
  <c r="E314" i="11"/>
  <c r="D315" i="11"/>
  <c r="G314" i="11"/>
  <c r="H314" i="11" l="1"/>
  <c r="I314" i="11" s="1"/>
  <c r="J314" i="11" s="1"/>
  <c r="F315" i="11" s="1"/>
  <c r="E315" i="11"/>
  <c r="D316" i="11"/>
  <c r="G315" i="11"/>
  <c r="D23" i="9"/>
  <c r="F23" i="9" s="1"/>
  <c r="D15" i="9"/>
  <c r="F15" i="9" s="1"/>
  <c r="D14" i="9"/>
  <c r="F14" i="9" s="1"/>
  <c r="E17" i="9"/>
  <c r="E12" i="9"/>
  <c r="D11" i="9"/>
  <c r="F11" i="9" s="1"/>
  <c r="D10" i="9"/>
  <c r="F10" i="9" s="1"/>
  <c r="E36" i="9"/>
  <c r="F27" i="9"/>
  <c r="F28" i="9"/>
  <c r="F29" i="9"/>
  <c r="F30" i="9"/>
  <c r="F31" i="9"/>
  <c r="F32" i="9"/>
  <c r="F33" i="9"/>
  <c r="F35" i="9"/>
  <c r="F26" i="9"/>
  <c r="F20" i="9"/>
  <c r="F21" i="9"/>
  <c r="F19" i="9"/>
  <c r="F9" i="9"/>
  <c r="E18" i="9"/>
  <c r="I20" i="9"/>
  <c r="H315" i="11" l="1"/>
  <c r="I315" i="11" s="1"/>
  <c r="J315" i="11"/>
  <c r="G316" i="11"/>
  <c r="F316" i="11"/>
  <c r="E316" i="11"/>
  <c r="H316" i="11"/>
  <c r="D317" i="11"/>
  <c r="F17" i="9"/>
  <c r="D18" i="9"/>
  <c r="F18" i="9" s="1"/>
  <c r="F12" i="9"/>
  <c r="F127" i="6"/>
  <c r="F96" i="6"/>
  <c r="D96" i="6"/>
  <c r="F87" i="6"/>
  <c r="D87" i="6"/>
  <c r="E16" i="6"/>
  <c r="F16" i="6"/>
  <c r="D25" i="7"/>
  <c r="E16" i="9" s="1"/>
  <c r="E13" i="9" s="1"/>
  <c r="E12" i="10"/>
  <c r="F12" i="10" s="1"/>
  <c r="E13" i="10"/>
  <c r="F13" i="10" s="1"/>
  <c r="E14" i="10"/>
  <c r="F14" i="10" s="1"/>
  <c r="E15" i="10"/>
  <c r="F15" i="10" s="1"/>
  <c r="E16" i="10"/>
  <c r="F16" i="10" s="1"/>
  <c r="E11" i="10"/>
  <c r="F11" i="10" s="1"/>
  <c r="E26" i="10"/>
  <c r="F26" i="10" s="1"/>
  <c r="E27" i="10"/>
  <c r="F27" i="10" s="1"/>
  <c r="E28" i="10"/>
  <c r="F28" i="10" s="1"/>
  <c r="B25" i="2"/>
  <c r="C13" i="1"/>
  <c r="B11" i="2"/>
  <c r="C15" i="1"/>
  <c r="E7" i="10"/>
  <c r="F7" i="10" s="1"/>
  <c r="E8" i="10"/>
  <c r="F8" i="10" s="1"/>
  <c r="E9" i="10"/>
  <c r="F9" i="10" s="1"/>
  <c r="E10" i="10"/>
  <c r="F10" i="10" s="1"/>
  <c r="E17" i="10"/>
  <c r="F17" i="10" s="1"/>
  <c r="E18" i="10"/>
  <c r="F18" i="10" s="1"/>
  <c r="E19" i="10"/>
  <c r="F19" i="10" s="1"/>
  <c r="E20" i="10"/>
  <c r="F20" i="10" s="1"/>
  <c r="E21" i="10"/>
  <c r="F21" i="10" s="1"/>
  <c r="E22" i="10"/>
  <c r="F22" i="10" s="1"/>
  <c r="E23" i="10"/>
  <c r="F23" i="10" s="1"/>
  <c r="E24" i="10"/>
  <c r="F24" i="10" s="1"/>
  <c r="E25" i="10"/>
  <c r="F25" i="10" s="1"/>
  <c r="E6" i="10"/>
  <c r="F6" i="10" s="1"/>
  <c r="C36" i="2" l="1"/>
  <c r="K36" i="2"/>
  <c r="D36" i="2"/>
  <c r="L36" i="2"/>
  <c r="G36" i="2"/>
  <c r="I36" i="2"/>
  <c r="J36" i="2"/>
  <c r="C6" i="11"/>
  <c r="E36" i="2"/>
  <c r="M36" i="2"/>
  <c r="F36" i="2"/>
  <c r="B36" i="2"/>
  <c r="H36" i="2"/>
  <c r="I316" i="11"/>
  <c r="J316" i="11" s="1"/>
  <c r="G317" i="11"/>
  <c r="F317" i="11"/>
  <c r="H317" i="11" s="1"/>
  <c r="E317" i="11"/>
  <c r="D318" i="11"/>
  <c r="D13" i="9"/>
  <c r="F13" i="9" s="1"/>
  <c r="F16" i="9"/>
  <c r="B15" i="2"/>
  <c r="F29" i="10"/>
  <c r="F18" i="11" l="1"/>
  <c r="H18" i="11" s="1"/>
  <c r="C13" i="11"/>
  <c r="I317" i="11"/>
  <c r="J317" i="11" s="1"/>
  <c r="I318" i="11"/>
  <c r="H318" i="11"/>
  <c r="G318" i="11"/>
  <c r="F318" i="11"/>
  <c r="D319" i="11"/>
  <c r="J318" i="11"/>
  <c r="E318" i="11"/>
  <c r="D29" i="7"/>
  <c r="D21" i="7"/>
  <c r="D15" i="7"/>
  <c r="H7" i="7"/>
  <c r="D7" i="7"/>
  <c r="F202" i="6"/>
  <c r="E202" i="6"/>
  <c r="D202" i="6"/>
  <c r="F198" i="6"/>
  <c r="E198" i="6"/>
  <c r="D198" i="6"/>
  <c r="E192" i="6"/>
  <c r="D192" i="6"/>
  <c r="F192" i="6"/>
  <c r="F184" i="6"/>
  <c r="F183" i="6" s="1"/>
  <c r="E184" i="6"/>
  <c r="E183" i="6" s="1"/>
  <c r="F176" i="6"/>
  <c r="D176" i="6"/>
  <c r="F172" i="6"/>
  <c r="F166" i="6"/>
  <c r="D166" i="6"/>
  <c r="F161" i="6"/>
  <c r="D161" i="6"/>
  <c r="F150" i="6"/>
  <c r="F149" i="6" s="1"/>
  <c r="F144" i="6"/>
  <c r="D144" i="6"/>
  <c r="F114" i="6"/>
  <c r="F107" i="6"/>
  <c r="D107" i="6"/>
  <c r="F101" i="6"/>
  <c r="D101" i="6"/>
  <c r="F92" i="6"/>
  <c r="F83" i="6"/>
  <c r="D83" i="6"/>
  <c r="F77" i="6"/>
  <c r="F72" i="6"/>
  <c r="F68" i="6" s="1"/>
  <c r="F61" i="6"/>
  <c r="D61" i="6"/>
  <c r="F56" i="6"/>
  <c r="E56" i="6"/>
  <c r="F51" i="6"/>
  <c r="E51" i="6"/>
  <c r="F44" i="6"/>
  <c r="E44" i="6"/>
  <c r="D44" i="6"/>
  <c r="F39" i="6"/>
  <c r="E39" i="6"/>
  <c r="D39" i="6"/>
  <c r="F34" i="6"/>
  <c r="E34" i="6"/>
  <c r="F29" i="6"/>
  <c r="E29" i="6"/>
  <c r="D29" i="6"/>
  <c r="F24" i="6"/>
  <c r="E24" i="6"/>
  <c r="F20" i="6"/>
  <c r="E20" i="6"/>
  <c r="G19" i="11" l="1"/>
  <c r="C14" i="11"/>
  <c r="C15" i="11" s="1"/>
  <c r="G18" i="11"/>
  <c r="I18" i="11" s="1"/>
  <c r="J18" i="11" s="1"/>
  <c r="F19" i="11" s="1"/>
  <c r="H19" i="11" s="1"/>
  <c r="I19" i="11" s="1"/>
  <c r="J19" i="11" s="1"/>
  <c r="F20" i="11" s="1"/>
  <c r="H20" i="11" s="1"/>
  <c r="I20" i="11" s="1"/>
  <c r="J20" i="11" s="1"/>
  <c r="F21" i="11" s="1"/>
  <c r="H21" i="11" s="1"/>
  <c r="I21" i="11" s="1"/>
  <c r="J21" i="11" s="1"/>
  <c r="F22" i="11" s="1"/>
  <c r="H22" i="11" s="1"/>
  <c r="I22" i="11" s="1"/>
  <c r="J22" i="11" s="1"/>
  <c r="F23" i="11" s="1"/>
  <c r="H23" i="11" s="1"/>
  <c r="I23" i="11" s="1"/>
  <c r="J23" i="11" s="1"/>
  <c r="F24" i="11" s="1"/>
  <c r="H24" i="11" s="1"/>
  <c r="I24" i="11" s="1"/>
  <c r="J24" i="11" s="1"/>
  <c r="F25" i="11" s="1"/>
  <c r="H25" i="11" s="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J319" i="11"/>
  <c r="I319" i="11"/>
  <c r="H319" i="11"/>
  <c r="G319" i="11"/>
  <c r="E319" i="11"/>
  <c r="F319" i="11"/>
  <c r="H40" i="7"/>
  <c r="I7" i="9"/>
  <c r="E47" i="6"/>
  <c r="E42" i="6" s="1"/>
  <c r="F23" i="6"/>
  <c r="F15" i="6" s="1"/>
  <c r="F160" i="6"/>
  <c r="F9" i="6"/>
  <c r="D160" i="6"/>
  <c r="F100" i="6"/>
  <c r="E23" i="6"/>
  <c r="E15" i="6" s="1"/>
  <c r="F142" i="6"/>
  <c r="E9" i="6"/>
  <c r="F47" i="6"/>
  <c r="F42" i="6" s="1"/>
  <c r="F132" i="6"/>
  <c r="F126" i="6" s="1"/>
  <c r="D142" i="6"/>
  <c r="B9" i="2"/>
  <c r="B10" i="2"/>
  <c r="C34" i="2"/>
  <c r="D34" i="2"/>
  <c r="G34" i="2"/>
  <c r="J34" i="2"/>
  <c r="K34" i="2"/>
  <c r="L34" i="2"/>
  <c r="B34" i="2"/>
  <c r="O35" i="2"/>
  <c r="D95" i="6" s="1"/>
  <c r="E34" i="2"/>
  <c r="F34" i="2"/>
  <c r="H34" i="2"/>
  <c r="I34" i="2"/>
  <c r="M34" i="2"/>
  <c r="I25" i="11" l="1"/>
  <c r="J25" i="11" s="1"/>
  <c r="F26" i="11" s="1"/>
  <c r="H26" i="11" s="1"/>
  <c r="I26" i="11" s="1"/>
  <c r="J26" i="11" s="1"/>
  <c r="F27" i="11" s="1"/>
  <c r="H27" i="11" s="1"/>
  <c r="E8" i="9"/>
  <c r="E7" i="9" s="1"/>
  <c r="E24" i="9" s="1"/>
  <c r="D7" i="9"/>
  <c r="F66" i="6"/>
  <c r="O34" i="2"/>
  <c r="O42" i="2"/>
  <c r="I27" i="11" l="1"/>
  <c r="J27" i="11" s="1"/>
  <c r="F28" i="11" s="1"/>
  <c r="H28" i="11" s="1"/>
  <c r="I28" i="11" s="1"/>
  <c r="J28" i="11" s="1"/>
  <c r="F29" i="11" s="1"/>
  <c r="H29" i="11" s="1"/>
  <c r="I29" i="11" s="1"/>
  <c r="J29" i="11" s="1"/>
  <c r="E37" i="9"/>
  <c r="D172" i="6"/>
  <c r="F7" i="9"/>
  <c r="F24" i="9" s="1"/>
  <c r="D24" i="9"/>
  <c r="F8" i="9"/>
  <c r="E8" i="6"/>
  <c r="I13" i="14" s="1"/>
  <c r="F8" i="6"/>
  <c r="F11" i="6" l="1"/>
  <c r="I31" i="15" s="1"/>
  <c r="F30" i="11"/>
  <c r="H30" i="11" s="1"/>
  <c r="I30" i="11" s="1"/>
  <c r="J30" i="11" s="1"/>
  <c r="F31" i="11" s="1"/>
  <c r="H31" i="11" s="1"/>
  <c r="I31" i="11" s="1"/>
  <c r="J31" i="11" s="1"/>
  <c r="F32" i="11" s="1"/>
  <c r="H32" i="11" s="1"/>
  <c r="I32" i="11" s="1"/>
  <c r="J32" i="11" s="1"/>
  <c r="F33" i="11" s="1"/>
  <c r="I23" i="9"/>
  <c r="D150" i="6"/>
  <c r="D149" i="6" s="1"/>
  <c r="O44" i="2"/>
  <c r="O25" i="2"/>
  <c r="D94" i="6" s="1"/>
  <c r="D92" i="6" s="1"/>
  <c r="O27" i="2"/>
  <c r="D33" i="6" s="1"/>
  <c r="O28" i="2"/>
  <c r="O29" i="2"/>
  <c r="O30" i="2"/>
  <c r="D81" i="6" s="1"/>
  <c r="O31" i="2"/>
  <c r="D72" i="6" s="1"/>
  <c r="D68" i="6" s="1"/>
  <c r="O32" i="2"/>
  <c r="D134" i="6" s="1"/>
  <c r="O37" i="2"/>
  <c r="O24" i="2"/>
  <c r="D48" i="6" s="1"/>
  <c r="D47" i="6" s="1"/>
  <c r="O11" i="2"/>
  <c r="O10" i="2"/>
  <c r="O9" i="2"/>
  <c r="O14" i="2"/>
  <c r="B16" i="2"/>
  <c r="C15" i="2"/>
  <c r="D15" i="2"/>
  <c r="D16" i="2" s="1"/>
  <c r="E15" i="2"/>
  <c r="E16" i="2" s="1"/>
  <c r="F16" i="2"/>
  <c r="G15" i="2"/>
  <c r="G16" i="2" s="1"/>
  <c r="H15" i="2"/>
  <c r="H16" i="2" s="1"/>
  <c r="I15" i="2"/>
  <c r="I16" i="2" s="1"/>
  <c r="J15" i="2"/>
  <c r="J16" i="2" s="1"/>
  <c r="K15" i="2"/>
  <c r="K16" i="2" s="1"/>
  <c r="L15" i="2"/>
  <c r="L16" i="2" s="1"/>
  <c r="M15" i="2"/>
  <c r="M16" i="2" s="1"/>
  <c r="B1" i="2"/>
  <c r="D5" i="6" s="1"/>
  <c r="E5" i="6" s="1"/>
  <c r="F5" i="6" s="1"/>
  <c r="C6" i="2"/>
  <c r="C7" i="2" s="1"/>
  <c r="D6" i="2"/>
  <c r="D7" i="2" s="1"/>
  <c r="E6" i="2"/>
  <c r="E7" i="2" s="1"/>
  <c r="F6" i="2"/>
  <c r="F7" i="2" s="1"/>
  <c r="G6" i="2"/>
  <c r="G7" i="2" s="1"/>
  <c r="H6" i="2"/>
  <c r="H7" i="2" s="1"/>
  <c r="I6" i="2"/>
  <c r="I7" i="2" s="1"/>
  <c r="J6" i="2"/>
  <c r="J7" i="2" s="1"/>
  <c r="K6" i="2"/>
  <c r="K7" i="2" s="1"/>
  <c r="L6" i="2"/>
  <c r="L7" i="2" s="1"/>
  <c r="M6" i="2"/>
  <c r="M7" i="2" s="1"/>
  <c r="B6" i="2"/>
  <c r="B7" i="2" s="1"/>
  <c r="B26" i="2" s="1"/>
  <c r="C12" i="1"/>
  <c r="F10" i="6" l="1"/>
  <c r="I13" i="15" s="1"/>
  <c r="L41" i="2"/>
  <c r="L18" i="2"/>
  <c r="L45" i="2" s="1"/>
  <c r="L26" i="2"/>
  <c r="D41" i="2"/>
  <c r="D18" i="2"/>
  <c r="D45" i="2" s="1"/>
  <c r="D26" i="2"/>
  <c r="C41" i="2"/>
  <c r="C26" i="2"/>
  <c r="C18" i="2"/>
  <c r="C45" i="2" s="1"/>
  <c r="I18" i="2"/>
  <c r="I45" i="2" s="1"/>
  <c r="I41" i="2"/>
  <c r="I26" i="2"/>
  <c r="J41" i="2"/>
  <c r="J18" i="2"/>
  <c r="J45" i="2" s="1"/>
  <c r="J26" i="2"/>
  <c r="H18" i="2"/>
  <c r="H45" i="2" s="1"/>
  <c r="H26" i="2"/>
  <c r="H41" i="2"/>
  <c r="K18" i="2"/>
  <c r="K45" i="2" s="1"/>
  <c r="K26" i="2"/>
  <c r="K41" i="2"/>
  <c r="G18" i="2"/>
  <c r="G45" i="2" s="1"/>
  <c r="G41" i="2"/>
  <c r="G26" i="2"/>
  <c r="F41" i="2"/>
  <c r="F18" i="2"/>
  <c r="F45" i="2" s="1"/>
  <c r="F26" i="2"/>
  <c r="M18" i="2"/>
  <c r="M45" i="2" s="1"/>
  <c r="M41" i="2"/>
  <c r="M26" i="2"/>
  <c r="E18" i="2"/>
  <c r="E45" i="2" s="1"/>
  <c r="E41" i="2"/>
  <c r="E26" i="2"/>
  <c r="H33" i="11"/>
  <c r="I33" i="11" s="1"/>
  <c r="J33" i="11"/>
  <c r="F34" i="11" s="1"/>
  <c r="H34" i="11" s="1"/>
  <c r="I34" i="11" s="1"/>
  <c r="J34" i="11" s="1"/>
  <c r="F35" i="11" s="1"/>
  <c r="H35" i="11" s="1"/>
  <c r="I35" i="11" s="1"/>
  <c r="J35" i="11" s="1"/>
  <c r="F36" i="11" s="1"/>
  <c r="H36" i="11" s="1"/>
  <c r="I36" i="11" s="1"/>
  <c r="J36" i="11" s="1"/>
  <c r="F37" i="11" s="1"/>
  <c r="D59" i="6"/>
  <c r="D58" i="6"/>
  <c r="D57" i="6"/>
  <c r="D56" i="6" s="1"/>
  <c r="D54" i="6"/>
  <c r="D53" i="6"/>
  <c r="D51" i="6" s="1"/>
  <c r="J12" i="2"/>
  <c r="D77" i="6"/>
  <c r="D66" i="6" s="1"/>
  <c r="I12" i="2"/>
  <c r="I22" i="2"/>
  <c r="M12" i="2"/>
  <c r="M22" i="2"/>
  <c r="M43" i="2" s="1"/>
  <c r="J23" i="2"/>
  <c r="I23" i="2"/>
  <c r="G23" i="2"/>
  <c r="B23" i="2"/>
  <c r="F23" i="2"/>
  <c r="M23" i="2"/>
  <c r="E23" i="2"/>
  <c r="L23" i="2"/>
  <c r="D23" i="2"/>
  <c r="H23" i="2"/>
  <c r="K23" i="2"/>
  <c r="C23" i="2"/>
  <c r="O33" i="2"/>
  <c r="O36" i="2"/>
  <c r="O15" i="2"/>
  <c r="I20" i="2"/>
  <c r="H20" i="2"/>
  <c r="G20" i="2"/>
  <c r="B20" i="2"/>
  <c r="F20" i="2"/>
  <c r="M20" i="2"/>
  <c r="E20" i="2"/>
  <c r="L20" i="2"/>
  <c r="D20" i="2"/>
  <c r="K20" i="2"/>
  <c r="C20" i="2"/>
  <c r="B19" i="2"/>
  <c r="J20" i="2"/>
  <c r="C16" i="2"/>
  <c r="O6" i="2"/>
  <c r="I43" i="2" l="1"/>
  <c r="H43" i="2"/>
  <c r="D42" i="6"/>
  <c r="H37" i="11"/>
  <c r="I37" i="11" s="1"/>
  <c r="J37" i="11"/>
  <c r="F38" i="11" s="1"/>
  <c r="H38" i="11" s="1"/>
  <c r="I38" i="11" s="1"/>
  <c r="J38" i="11" s="1"/>
  <c r="F39" i="11" s="1"/>
  <c r="H39" i="11" s="1"/>
  <c r="I39" i="11" s="1"/>
  <c r="J39" i="11" s="1"/>
  <c r="F40" i="11" s="1"/>
  <c r="H40" i="11" s="1"/>
  <c r="I40" i="11" s="1"/>
  <c r="J40" i="11" s="1"/>
  <c r="F41" i="11" s="1"/>
  <c r="H41" i="11" s="1"/>
  <c r="I41" i="11" s="1"/>
  <c r="J41" i="11" s="1"/>
  <c r="F42" i="11" s="1"/>
  <c r="H42" i="11" s="1"/>
  <c r="I42" i="11" s="1"/>
  <c r="J42" i="11" s="1"/>
  <c r="F43" i="11" s="1"/>
  <c r="H43" i="11" s="1"/>
  <c r="I43" i="11" s="1"/>
  <c r="J43" i="11" s="1"/>
  <c r="F44" i="11" s="1"/>
  <c r="G12" i="2"/>
  <c r="G22" i="2"/>
  <c r="G43" i="2" s="1"/>
  <c r="L12" i="2"/>
  <c r="L22" i="2"/>
  <c r="L43" i="2" s="1"/>
  <c r="E12" i="2"/>
  <c r="E22" i="2"/>
  <c r="C12" i="2"/>
  <c r="C22" i="2"/>
  <c r="C43" i="2" s="1"/>
  <c r="K12" i="2"/>
  <c r="K22" i="2"/>
  <c r="K43" i="2" s="1"/>
  <c r="F12" i="2"/>
  <c r="F22" i="2"/>
  <c r="F43" i="2" s="1"/>
  <c r="D22" i="2"/>
  <c r="D43" i="2" s="1"/>
  <c r="D12" i="2"/>
  <c r="D133" i="6"/>
  <c r="D132" i="6" s="1"/>
  <c r="D126" i="6" s="1"/>
  <c r="D128" i="6"/>
  <c r="D127" i="6" s="1"/>
  <c r="J22" i="2"/>
  <c r="J43" i="2" s="1"/>
  <c r="O16" i="2"/>
  <c r="P16" i="2" s="1"/>
  <c r="O23" i="2"/>
  <c r="D124" i="6" s="1"/>
  <c r="D114" i="6" s="1"/>
  <c r="D100" i="6" s="1"/>
  <c r="H22" i="2"/>
  <c r="M38" i="2"/>
  <c r="I38" i="2"/>
  <c r="H12" i="2"/>
  <c r="O7" i="2"/>
  <c r="O20" i="2"/>
  <c r="D28" i="6" s="1"/>
  <c r="O19" i="2"/>
  <c r="D18" i="6" s="1"/>
  <c r="G38" i="2" l="1"/>
  <c r="D38" i="2"/>
  <c r="J38" i="2"/>
  <c r="E38" i="2"/>
  <c r="E43" i="2"/>
  <c r="H44" i="11"/>
  <c r="I44" i="11" s="1"/>
  <c r="J44" i="11"/>
  <c r="F45" i="11" s="1"/>
  <c r="H45" i="11" s="1"/>
  <c r="I45" i="11" s="1"/>
  <c r="J45" i="11" s="1"/>
  <c r="F46" i="11" s="1"/>
  <c r="H46" i="11" s="1"/>
  <c r="I46" i="11" s="1"/>
  <c r="J46" i="11" s="1"/>
  <c r="F47" i="11" s="1"/>
  <c r="H47" i="11" s="1"/>
  <c r="I47" i="11" s="1"/>
  <c r="J47" i="11" s="1"/>
  <c r="F48" i="11" s="1"/>
  <c r="H48" i="11" s="1"/>
  <c r="I48" i="11" s="1"/>
  <c r="J48" i="11" s="1"/>
  <c r="F49" i="11" s="1"/>
  <c r="H49" i="11" s="1"/>
  <c r="I49" i="11" s="1"/>
  <c r="J49" i="11" s="1"/>
  <c r="F50" i="11" s="1"/>
  <c r="H50" i="11" s="1"/>
  <c r="I50" i="11" s="1"/>
  <c r="J50" i="11" s="1"/>
  <c r="F51" i="11" s="1"/>
  <c r="H51" i="11" s="1"/>
  <c r="I51" i="11" s="1"/>
  <c r="J51" i="11" s="1"/>
  <c r="F52" i="11" s="1"/>
  <c r="H52" i="11" s="1"/>
  <c r="I52" i="11" s="1"/>
  <c r="J52" i="11" s="1"/>
  <c r="F53" i="11" s="1"/>
  <c r="H53" i="11" s="1"/>
  <c r="I53" i="11" s="1"/>
  <c r="J53" i="11" s="1"/>
  <c r="F54" i="11" s="1"/>
  <c r="H54" i="11" s="1"/>
  <c r="I54" i="11" s="1"/>
  <c r="J54" i="11" s="1"/>
  <c r="F55" i="11" s="1"/>
  <c r="H55" i="11" s="1"/>
  <c r="I55" i="11" s="1"/>
  <c r="J55" i="11" s="1"/>
  <c r="F56" i="11" s="1"/>
  <c r="K38" i="2"/>
  <c r="L38" i="2"/>
  <c r="C38" i="2"/>
  <c r="L47" i="2"/>
  <c r="M47" i="2"/>
  <c r="F38" i="2"/>
  <c r="O26" i="2"/>
  <c r="D21" i="6" s="1"/>
  <c r="B18" i="2"/>
  <c r="O18" i="2" s="1"/>
  <c r="D17" i="6" s="1"/>
  <c r="B22" i="2"/>
  <c r="H38" i="2"/>
  <c r="I36" i="9" l="1"/>
  <c r="I36" i="15"/>
  <c r="I36" i="14"/>
  <c r="O22" i="2"/>
  <c r="B43" i="2"/>
  <c r="H56" i="11"/>
  <c r="I56" i="11" s="1"/>
  <c r="J56" i="11"/>
  <c r="F57" i="11" s="1"/>
  <c r="H57" i="11" s="1"/>
  <c r="I57" i="11" s="1"/>
  <c r="J57" i="11" s="1"/>
  <c r="F58" i="11" s="1"/>
  <c r="D20" i="6"/>
  <c r="D25" i="6"/>
  <c r="D26" i="6"/>
  <c r="D27" i="6"/>
  <c r="D16" i="6"/>
  <c r="E13" i="3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H58" i="11" l="1"/>
  <c r="I58" i="11" s="1"/>
  <c r="J58" i="11"/>
  <c r="F59" i="11" s="1"/>
  <c r="H59" i="11" s="1"/>
  <c r="I59" i="11" s="1"/>
  <c r="J59" i="11" s="1"/>
  <c r="F60" i="11" s="1"/>
  <c r="H60" i="11" s="1"/>
  <c r="I60" i="11" s="1"/>
  <c r="J60" i="11" s="1"/>
  <c r="F61" i="11" s="1"/>
  <c r="H61" i="11" s="1"/>
  <c r="I61" i="11" s="1"/>
  <c r="J61" i="11" s="1"/>
  <c r="F62" i="11" s="1"/>
  <c r="H62" i="11" s="1"/>
  <c r="I62" i="11" s="1"/>
  <c r="J62" i="11" s="1"/>
  <c r="F63" i="11" s="1"/>
  <c r="H63" i="11" s="1"/>
  <c r="I63" i="11" s="1"/>
  <c r="J63" i="11" s="1"/>
  <c r="F64" i="11" s="1"/>
  <c r="D24" i="6"/>
  <c r="D23" i="6" s="1"/>
  <c r="G13" i="3"/>
  <c r="G14" i="3"/>
  <c r="G19" i="3"/>
  <c r="G22" i="3"/>
  <c r="G15" i="3"/>
  <c r="G23" i="3"/>
  <c r="G24" i="3"/>
  <c r="G17" i="3"/>
  <c r="G18" i="3"/>
  <c r="G16" i="3"/>
  <c r="G21" i="3"/>
  <c r="G20" i="3"/>
  <c r="H64" i="11" l="1"/>
  <c r="I64" i="11" s="1"/>
  <c r="J64" i="11" s="1"/>
  <c r="F65" i="11" s="1"/>
  <c r="H65" i="11" s="1"/>
  <c r="I65" i="11" s="1"/>
  <c r="J65" i="11" s="1"/>
  <c r="F66" i="11" s="1"/>
  <c r="H66" i="11" s="1"/>
  <c r="I66" i="11" s="1"/>
  <c r="J66" i="11" s="1"/>
  <c r="F67" i="11" s="1"/>
  <c r="H67" i="11" s="1"/>
  <c r="I67" i="11" s="1"/>
  <c r="J67" i="11" s="1"/>
  <c r="F68" i="11" s="1"/>
  <c r="H68" i="11" s="1"/>
  <c r="I68" i="11" s="1"/>
  <c r="J68" i="11" s="1"/>
  <c r="F69" i="11" s="1"/>
  <c r="H69" i="11" s="1"/>
  <c r="I69" i="11" s="1"/>
  <c r="J69" i="11" s="1"/>
  <c r="F70" i="11" s="1"/>
  <c r="H70" i="11" s="1"/>
  <c r="I70" i="11" s="1"/>
  <c r="J70" i="11" s="1"/>
  <c r="F71" i="11" s="1"/>
  <c r="H71" i="11" s="1"/>
  <c r="I71" i="11" s="1"/>
  <c r="J71" i="11" s="1"/>
  <c r="F72" i="11" s="1"/>
  <c r="H72" i="11" s="1"/>
  <c r="I72" i="11" s="1"/>
  <c r="J72" i="11" s="1"/>
  <c r="F73" i="11" s="1"/>
  <c r="H73" i="11" s="1"/>
  <c r="I73" i="11" s="1"/>
  <c r="J73" i="11" s="1"/>
  <c r="F74" i="11" s="1"/>
  <c r="H74" i="11" s="1"/>
  <c r="I74" i="11" s="1"/>
  <c r="J74" i="11" s="1"/>
  <c r="F75" i="11" s="1"/>
  <c r="H75" i="11" s="1"/>
  <c r="I75" i="11" s="1"/>
  <c r="J75" i="11" s="1"/>
  <c r="F76" i="11" s="1"/>
  <c r="H76" i="11" s="1"/>
  <c r="I76" i="11" s="1"/>
  <c r="J76" i="11" s="1"/>
  <c r="F77" i="11" s="1"/>
  <c r="H77" i="11" s="1"/>
  <c r="I77" i="11" s="1"/>
  <c r="J77" i="11" s="1"/>
  <c r="F78" i="11" s="1"/>
  <c r="L46" i="2" l="1"/>
  <c r="L48" i="2"/>
  <c r="M46" i="2" l="1"/>
  <c r="M48" i="2"/>
  <c r="L50" i="2"/>
  <c r="M50" i="2" l="1"/>
  <c r="D34" i="7" l="1"/>
  <c r="D37" i="7"/>
  <c r="O8" i="2"/>
  <c r="O21" i="2"/>
  <c r="B38" i="2"/>
  <c r="O38" i="2" s="1"/>
  <c r="P38" i="2" s="1"/>
  <c r="O43" i="2"/>
  <c r="B45" i="2"/>
  <c r="O45" i="2" s="1"/>
  <c r="D37" i="6" l="1"/>
  <c r="D35" i="6"/>
  <c r="B12" i="2"/>
  <c r="D40" i="7"/>
  <c r="B41" i="2"/>
  <c r="O41" i="2" s="1"/>
  <c r="D185" i="6"/>
  <c r="D186" i="6"/>
  <c r="B40" i="2"/>
  <c r="C7" i="3"/>
  <c r="C8" i="3" s="1"/>
  <c r="C10" i="3" s="1"/>
  <c r="D34" i="6" l="1"/>
  <c r="D15" i="6" s="1"/>
  <c r="D8" i="6" s="1"/>
  <c r="B50" i="2"/>
  <c r="B51" i="2" s="1"/>
  <c r="C3" i="2" s="1"/>
  <c r="O12" i="2"/>
  <c r="P12" i="2" s="1"/>
  <c r="O40" i="2"/>
  <c r="B47" i="2"/>
  <c r="D184" i="6"/>
  <c r="D183" i="6" s="1"/>
  <c r="D9" i="6" s="1"/>
  <c r="C16" i="3"/>
  <c r="C24" i="3"/>
  <c r="C17" i="3"/>
  <c r="C18" i="3"/>
  <c r="C20" i="3"/>
  <c r="C19" i="3"/>
  <c r="C23" i="3"/>
  <c r="C13" i="3"/>
  <c r="C21" i="3"/>
  <c r="C22" i="3"/>
  <c r="C14" i="3"/>
  <c r="C15" i="3"/>
  <c r="C48" i="2" l="1"/>
  <c r="C50" i="2" s="1"/>
  <c r="C51" i="2" s="1"/>
  <c r="D3" i="2" s="1"/>
  <c r="C46" i="2"/>
  <c r="I13" i="9" l="1"/>
  <c r="C47" i="2"/>
  <c r="I16" i="9" l="1"/>
  <c r="I37" i="9" s="1"/>
  <c r="I8" i="14"/>
  <c r="D48" i="2"/>
  <c r="D50" i="2" s="1"/>
  <c r="D51" i="2" s="1"/>
  <c r="E3" i="2" s="1"/>
  <c r="D46" i="2"/>
  <c r="I8" i="15" l="1"/>
  <c r="I16" i="15" s="1"/>
  <c r="I37" i="15" s="1"/>
  <c r="I16" i="14"/>
  <c r="I37" i="14" s="1"/>
  <c r="D47" i="2"/>
  <c r="E46" i="2" l="1"/>
  <c r="E48" i="2"/>
  <c r="E50" i="2" s="1"/>
  <c r="E51" i="2" s="1"/>
  <c r="F3" i="2" s="1"/>
  <c r="E47" i="2" l="1"/>
  <c r="F46" i="2" l="1"/>
  <c r="F48" i="2"/>
  <c r="F50" i="2" s="1"/>
  <c r="F51" i="2" s="1"/>
  <c r="G3" i="2" s="1"/>
  <c r="F47" i="2" l="1"/>
  <c r="G46" i="2" l="1"/>
  <c r="G48" i="2"/>
  <c r="G50" i="2" s="1"/>
  <c r="G51" i="2" s="1"/>
  <c r="H3" i="2" s="1"/>
  <c r="G47" i="2" l="1"/>
  <c r="H46" i="2" l="1"/>
  <c r="H47" i="2" s="1"/>
  <c r="H48" i="2"/>
  <c r="H50" i="2" s="1"/>
  <c r="H51" i="2" s="1"/>
  <c r="I3" i="2" s="1"/>
  <c r="I48" i="2" l="1"/>
  <c r="I50" i="2" s="1"/>
  <c r="I51" i="2" s="1"/>
  <c r="J3" i="2" s="1"/>
  <c r="I46" i="2"/>
  <c r="I47" i="2" s="1"/>
  <c r="J48" i="2" l="1"/>
  <c r="J50" i="2" s="1"/>
  <c r="J51" i="2" s="1"/>
  <c r="K3" i="2" s="1"/>
  <c r="J46" i="2"/>
  <c r="J47" i="2" s="1"/>
  <c r="K48" i="2" l="1"/>
  <c r="K50" i="2" s="1"/>
  <c r="K51" i="2" s="1"/>
  <c r="L3" i="2" s="1"/>
  <c r="L51" i="2" s="1"/>
  <c r="M3" i="2" s="1"/>
  <c r="M51" i="2" s="1"/>
  <c r="K46" i="2"/>
  <c r="O46" i="2" s="1"/>
  <c r="O47" i="2"/>
  <c r="D34" i="9" l="1"/>
  <c r="B3" i="12"/>
  <c r="B51" i="12" s="1"/>
  <c r="C3" i="12" s="1"/>
  <c r="C51" i="12" s="1"/>
  <c r="D3" i="12" s="1"/>
  <c r="D51" i="12" s="1"/>
  <c r="E3" i="12" s="1"/>
  <c r="E51" i="12" s="1"/>
  <c r="F3" i="12" s="1"/>
  <c r="F51" i="12" s="1"/>
  <c r="G3" i="12" s="1"/>
  <c r="G51" i="12" s="1"/>
  <c r="H3" i="12" s="1"/>
  <c r="H51" i="12" s="1"/>
  <c r="I3" i="12" s="1"/>
  <c r="I51" i="12" s="1"/>
  <c r="J3" i="12" s="1"/>
  <c r="J51" i="12" s="1"/>
  <c r="K3" i="12" s="1"/>
  <c r="K51" i="12" s="1"/>
  <c r="L3" i="12" s="1"/>
  <c r="L51" i="12" s="1"/>
  <c r="M3" i="12" s="1"/>
  <c r="M51" i="12" s="1"/>
  <c r="F34" i="9"/>
  <c r="F36" i="9" s="1"/>
  <c r="F37" i="9" s="1"/>
  <c r="I39" i="9" s="1"/>
  <c r="D36" i="9"/>
  <c r="D37" i="9" s="1"/>
  <c r="D34" i="14" l="1"/>
  <c r="F34" i="14" s="1"/>
  <c r="F36" i="14" s="1"/>
  <c r="F37" i="14" s="1"/>
  <c r="I39" i="14" s="1"/>
  <c r="B3" i="13"/>
  <c r="B51" i="13" s="1"/>
  <c r="C3" i="13" s="1"/>
  <c r="C51" i="13" s="1"/>
  <c r="D3" i="13" s="1"/>
  <c r="D51" i="13" s="1"/>
  <c r="E3" i="13" s="1"/>
  <c r="E51" i="13" s="1"/>
  <c r="F3" i="13" s="1"/>
  <c r="F51" i="13" s="1"/>
  <c r="G3" i="13" s="1"/>
  <c r="G51" i="13" s="1"/>
  <c r="H3" i="13" s="1"/>
  <c r="H51" i="13" s="1"/>
  <c r="I3" i="13" s="1"/>
  <c r="I51" i="13" s="1"/>
  <c r="J3" i="13" s="1"/>
  <c r="J51" i="13" s="1"/>
  <c r="K3" i="13" s="1"/>
  <c r="K51" i="13" s="1"/>
  <c r="L3" i="13" s="1"/>
  <c r="L51" i="13" s="1"/>
  <c r="M3" i="13" s="1"/>
  <c r="M51" i="13" s="1"/>
  <c r="D34" i="15" s="1"/>
  <c r="D36" i="15" s="1"/>
  <c r="D37" i="15" s="1"/>
  <c r="D36" i="14" l="1"/>
  <c r="D37" i="14" s="1"/>
  <c r="F34" i="15"/>
  <c r="F36" i="15" s="1"/>
  <c r="F37" i="15" s="1"/>
  <c r="I39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 Pelletier</author>
  </authors>
  <commentList>
    <comment ref="C13" authorId="0" shapeId="0" xr:uid="{3F93DC43-653A-479B-A3B0-A803A1CAF3E9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faire des devis avec tout le matériel nécessaire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 Pelletier</author>
  </authors>
  <commentList>
    <comment ref="A14" authorId="0" shapeId="0" xr:uid="{74C9FCD8-3780-400B-8611-18E63145A830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+ les frais d'établissement du plan de financement</t>
        </r>
      </text>
    </comment>
    <comment ref="A48" authorId="0" shapeId="0" xr:uid="{638029EB-1F8E-4CE4-A52D-2E3F4BC8E262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à voir selon le statut juridique adopté si micro pas de tva si autre tva à appliquer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 Pelletier</author>
  </authors>
  <commentList>
    <comment ref="A14" authorId="0" shapeId="0" xr:uid="{88254749-A109-4462-952C-F5F825DD9BE9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+ les frais d'établissement du plan de financement</t>
        </r>
      </text>
    </comment>
    <comment ref="A48" authorId="0" shapeId="0" xr:uid="{65BC78D7-DAFE-4E8D-B1AA-87090BC06003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à voir selon le statut juridique adopté si micro pas de tva si autre tva à appliquer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 Pelletier</author>
  </authors>
  <commentList>
    <comment ref="A14" authorId="0" shapeId="0" xr:uid="{ACA3C314-86BC-43A5-8FD8-7FD82B25F9EE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+ les frais d'établissement du plan de financement</t>
        </r>
      </text>
    </comment>
    <comment ref="A48" authorId="0" shapeId="0" xr:uid="{348C3FEF-3BD8-4009-B80A-732E031B3C99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à voir selon le statut juridique adopté si micro pas de tva si autre tva à appliquer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Romain Pelletier</author>
  </authors>
  <commentList>
    <comment ref="C8" authorId="0" shapeId="0" xr:uid="{B283FDDF-E422-4D56-8FE1-424A4C86C5FE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présent dans les frais d'honoraires de la tréso</t>
        </r>
      </text>
    </comment>
    <comment ref="C11" authorId="0" shapeId="0" xr:uid="{4BBE2524-7EE2-45AD-BF81-9EBF07C3AA07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présent dans les frais de pub de la tréso</t>
        </r>
      </text>
    </comment>
    <comment ref="H16" authorId="0" shapeId="0" xr:uid="{9632DF07-01F1-44C1-B5AB-9E2A7CF2A64C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à étudier pour l'obtention du camion</t>
        </r>
      </text>
    </comment>
    <comment ref="H30" authorId="0" shapeId="0" xr:uid="{85F8C748-BEC6-47EE-A7DD-E3E6B0FF260A}">
      <text>
        <r>
          <rPr>
            <b/>
            <sz val="9"/>
            <color indexed="81"/>
            <rFont val="Tahoma"/>
            <family val="2"/>
          </rPr>
          <t>Romain Pelletier:</t>
        </r>
        <r>
          <rPr>
            <sz val="9"/>
            <color indexed="81"/>
            <rFont val="Tahoma"/>
            <family val="2"/>
          </rPr>
          <t xml:space="preserve">
étudier les différents taux î qui sont accordés par les BK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<sst xmlns="http://schemas.openxmlformats.org/spreadsheetml/2006/main" count="856" uniqueCount="492">
  <si>
    <t>Budget Food truck</t>
  </si>
  <si>
    <t>Année</t>
  </si>
  <si>
    <t>Achat de MP</t>
  </si>
  <si>
    <t>Coût/km</t>
  </si>
  <si>
    <t>Coût carburant / 100 km</t>
  </si>
  <si>
    <t>Achat véhicule</t>
  </si>
  <si>
    <t>Montant emprunt</t>
  </si>
  <si>
    <t>Taux</t>
  </si>
  <si>
    <t>Distance journalière (km)</t>
  </si>
  <si>
    <t>Durée (ans)</t>
  </si>
  <si>
    <t>Mois de mise en service</t>
  </si>
  <si>
    <t>Budget de trésorerie</t>
  </si>
  <si>
    <t>Nb de jours ouvrables</t>
  </si>
  <si>
    <t>Janvier</t>
  </si>
  <si>
    <t>Ventes</t>
  </si>
  <si>
    <t>ENCAISSEMENTS</t>
  </si>
  <si>
    <t>Immobilisations incorporelles</t>
  </si>
  <si>
    <t>Immobilisations corporelles</t>
  </si>
  <si>
    <t>IMMOBILISATIONS</t>
  </si>
  <si>
    <t>Achats de MP</t>
  </si>
  <si>
    <t>Emballages</t>
  </si>
  <si>
    <t>Carburant</t>
  </si>
  <si>
    <t>Échéances d'emprunt</t>
  </si>
  <si>
    <t>Fluides (eau, électricité, gaz, etc.)</t>
  </si>
  <si>
    <t>Mutuelle</t>
  </si>
  <si>
    <t>Entretien / Maintenance</t>
  </si>
  <si>
    <t>DECAISSEMENTS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</si>
  <si>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</si>
  <si>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</si>
  <si>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</si>
  <si>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</si>
  <si>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</si>
  <si>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</si>
  <si>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</si>
  <si>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</si>
  <si>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</si>
  <si>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</si>
  <si>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</si>
  <si>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</t>
  </si>
  <si>
    <t>Seuil de rentabilité</t>
  </si>
  <si>
    <t>Charges fixes</t>
  </si>
  <si>
    <t>Charges variables</t>
  </si>
  <si>
    <t>Marge sur coûts variables</t>
  </si>
  <si>
    <t>Taux MCV</t>
  </si>
  <si>
    <t>Mois</t>
  </si>
  <si>
    <t>Chiffre d'Affaires</t>
  </si>
  <si>
    <t>Chiffre d'Affaires cumulé</t>
  </si>
  <si>
    <t>Marge Brute</t>
  </si>
  <si>
    <t>Solde du mois</t>
  </si>
  <si>
    <t>Trésorerie début de mois</t>
  </si>
  <si>
    <t>Aides &amp; Subventions</t>
  </si>
  <si>
    <t xml:space="preserve">Prêts et financements </t>
  </si>
  <si>
    <t>Frais logiciel TPE</t>
  </si>
  <si>
    <t>Frais internet-téléphone</t>
  </si>
  <si>
    <t>Publicité / Communication / Mkgt</t>
  </si>
  <si>
    <t>Honoraires (prestataires divers)</t>
  </si>
  <si>
    <t>Loyer local labo</t>
  </si>
  <si>
    <t>Frais financiers (frais TC, î)</t>
  </si>
  <si>
    <t>TVA déductible 20%</t>
  </si>
  <si>
    <t>TVA Déductible 10%</t>
  </si>
  <si>
    <t>TVA Déductible 5,5%</t>
  </si>
  <si>
    <t>Fournitures diverses</t>
  </si>
  <si>
    <t>TVA collectée 5,5%</t>
  </si>
  <si>
    <t>TVA Collectée 10%</t>
  </si>
  <si>
    <t>TVA collectée 20%</t>
  </si>
  <si>
    <t>Salaires Bruts Gérant</t>
  </si>
  <si>
    <t>Charges sociales patronales Gérant</t>
  </si>
  <si>
    <t>IS ou autres selon régime jurid</t>
  </si>
  <si>
    <t>Frais d'emplacement (AOT)</t>
  </si>
  <si>
    <t>Coût occupation temporaire</t>
  </si>
  <si>
    <t>TVA A DECAISSER</t>
  </si>
  <si>
    <t>Report Crédit de TVA M-1</t>
  </si>
  <si>
    <t>Solde de TVA mensuel</t>
  </si>
  <si>
    <t>Charges</t>
  </si>
  <si>
    <t>Produits</t>
  </si>
  <si>
    <t>Résultat Net</t>
  </si>
  <si>
    <t xml:space="preserve">CHARGES </t>
  </si>
  <si>
    <t>ACHATS</t>
  </si>
  <si>
    <t>ACHATS STOCKES - AUTRES APPROVISIONNEMENTS</t>
  </si>
  <si>
    <t>Hébergement de site internet (nom de domaine, etc.)</t>
  </si>
  <si>
    <t>ACHATS NON STOCKES DE MATIERES ET FOURNITURES</t>
  </si>
  <si>
    <t>606 110</t>
  </si>
  <si>
    <t>606 120</t>
  </si>
  <si>
    <t>606 130</t>
  </si>
  <si>
    <t>606 140</t>
  </si>
  <si>
    <t>606 300</t>
  </si>
  <si>
    <t>Fournitures d'entretien et de petit équipement</t>
  </si>
  <si>
    <t>606 320</t>
  </si>
  <si>
    <t>Fournitures administratives</t>
  </si>
  <si>
    <t>ACHATS DE MARCHANDISES</t>
  </si>
  <si>
    <t>FRAIS ACCESSOIRES D'ACHATS</t>
  </si>
  <si>
    <t xml:space="preserve">RABAIS, REMISES, RISTOURNES OBTENUS SUR ACHATS </t>
  </si>
  <si>
    <t>SERVICES EXTERIEURS</t>
  </si>
  <si>
    <t>REDEVANCES CREDIT BAIL</t>
  </si>
  <si>
    <t>612 200</t>
  </si>
  <si>
    <t>Crédit-bail mobilier</t>
  </si>
  <si>
    <t>612 500</t>
  </si>
  <si>
    <t xml:space="preserve">Crédit-bail immobilier </t>
  </si>
  <si>
    <t>LOCATIONS</t>
  </si>
  <si>
    <t>613 200</t>
  </si>
  <si>
    <t>Locations immobilières</t>
  </si>
  <si>
    <t>613 500</t>
  </si>
  <si>
    <t>Locations mobilières</t>
  </si>
  <si>
    <t>CHARGES LOCATIVES ET DE COPROPRIETE</t>
  </si>
  <si>
    <t>ENTRETIENS ET REPARATIONS</t>
  </si>
  <si>
    <t>615 500</t>
  </si>
  <si>
    <t>sur biens mobiliers</t>
  </si>
  <si>
    <t>615 600</t>
  </si>
  <si>
    <t>Maintenance</t>
  </si>
  <si>
    <t>615 700</t>
  </si>
  <si>
    <t>Entretien et Réparations - divers</t>
  </si>
  <si>
    <t>PRIMES D'ASSURANCE</t>
  </si>
  <si>
    <t xml:space="preserve">Primes d'assurances multi risques </t>
  </si>
  <si>
    <t>Primes d'assurances - Risque d'exploitation</t>
  </si>
  <si>
    <t>ETUDES ET RECHERCHES</t>
  </si>
  <si>
    <t>DIVERS</t>
  </si>
  <si>
    <t>618 400</t>
  </si>
  <si>
    <t>Abonnements</t>
  </si>
  <si>
    <t>618 500</t>
  </si>
  <si>
    <t>Rabais, Remises et Ristounes obtenus sur services extérieurs</t>
  </si>
  <si>
    <t>AUTRES SERVICES EXTERIEURS</t>
  </si>
  <si>
    <t>PERSONNEL EXTERIEUR</t>
  </si>
  <si>
    <t>REMUNERATIONS D'INTERMEDIAIRES ET HONORAIRES</t>
  </si>
  <si>
    <t>Commissions et courtages sur achats</t>
  </si>
  <si>
    <t>Commissions et courtages sur ventes</t>
  </si>
  <si>
    <t>622 300</t>
  </si>
  <si>
    <t>Affacturage et autres</t>
  </si>
  <si>
    <t>622 600</t>
  </si>
  <si>
    <t>Honoraires</t>
  </si>
  <si>
    <t>Honoraires experts-comptables</t>
  </si>
  <si>
    <t>622 670</t>
  </si>
  <si>
    <t>Honoraires autres</t>
  </si>
  <si>
    <t>Frais d'actes et de contentieux</t>
  </si>
  <si>
    <t>Divers autres services extérieurs</t>
  </si>
  <si>
    <t>PUBLICITE, PUBLICATIONS, RELATIONS PUBLIQUES</t>
  </si>
  <si>
    <t>623 100</t>
  </si>
  <si>
    <t>Annonces et insertions</t>
  </si>
  <si>
    <t>623 300</t>
  </si>
  <si>
    <t>Foires et expositions</t>
  </si>
  <si>
    <t>623 600</t>
  </si>
  <si>
    <t>Catalogues et imprimés</t>
  </si>
  <si>
    <t>623 700</t>
  </si>
  <si>
    <t>Publications</t>
  </si>
  <si>
    <t>Divers</t>
  </si>
  <si>
    <t>FRAIS DE TRANSPORT</t>
  </si>
  <si>
    <t xml:space="preserve">Transport sur achats </t>
  </si>
  <si>
    <t xml:space="preserve">Transport sur ventes </t>
  </si>
  <si>
    <t>624 800</t>
  </si>
  <si>
    <t>Transport divers</t>
  </si>
  <si>
    <t>DEPLACEMENTS - MISSIONS ET RECEPTIONS</t>
  </si>
  <si>
    <t>625 500</t>
  </si>
  <si>
    <t>Frais de déménagements</t>
  </si>
  <si>
    <t>625 600</t>
  </si>
  <si>
    <t>Missions</t>
  </si>
  <si>
    <t>625 700</t>
  </si>
  <si>
    <t>FRAIS POSTAUX ET DE TELECOMMUNICATION</t>
  </si>
  <si>
    <t>Affranchissements / Frais postaux</t>
  </si>
  <si>
    <t>Téléphone, Internet</t>
  </si>
  <si>
    <t>SERVICES BANCAIRES ET ASSIMILES</t>
  </si>
  <si>
    <t>628 100</t>
  </si>
  <si>
    <t>628 400</t>
  </si>
  <si>
    <t>Rabais, Remises et Ristounes obtenus sur autres services extérieurs</t>
  </si>
  <si>
    <t>IMPOTS, TAXES ET VERSEMENTS ASSIMILES</t>
  </si>
  <si>
    <t>IMPOTS, TAXES ET VERSEMENTS ASSIMILES SUR REMUNERATIONS (administratif des impôts)</t>
  </si>
  <si>
    <t xml:space="preserve">Taxe sur salaires </t>
  </si>
  <si>
    <t xml:space="preserve">Taxe d'apprentissage  </t>
  </si>
  <si>
    <t>Participation des employeurs à l'effort de construction</t>
  </si>
  <si>
    <t>Cotisation pour défaut d'investissement obligatoire dans la construction</t>
  </si>
  <si>
    <t>Autres</t>
  </si>
  <si>
    <t>IMPOTS, TAXES ET VERSEMENTS ASSIMILES SUR REMUNERATIONS (autres organismes)</t>
  </si>
  <si>
    <t>633 100</t>
  </si>
  <si>
    <t>Versement de transport</t>
  </si>
  <si>
    <t>633 200</t>
  </si>
  <si>
    <t>Allocation de logement</t>
  </si>
  <si>
    <t>633 300</t>
  </si>
  <si>
    <t>Participation des employeurs à la formation professionnelle continue</t>
  </si>
  <si>
    <t>633 400</t>
  </si>
  <si>
    <t>Participation des employeurs à l'effort de construction (versement à fonds perdus)</t>
  </si>
  <si>
    <t>633 500</t>
  </si>
  <si>
    <t>Versements libératoires ouvroit droit à l'exonération de la taxe d'apprentissage</t>
  </si>
  <si>
    <t>633 800</t>
  </si>
  <si>
    <t>AUTRES IMPOTS, TAXES ET VERSEMENTS ASSIMILES (administration des impôts)</t>
  </si>
  <si>
    <t>CET (cfe-cvae)</t>
  </si>
  <si>
    <t>635 120</t>
  </si>
  <si>
    <t>Taxes foncières</t>
  </si>
  <si>
    <t xml:space="preserve">635 130 </t>
  </si>
  <si>
    <t>Autres impôts locaux</t>
  </si>
  <si>
    <t>Taxes sur les véhicules de sociétés</t>
  </si>
  <si>
    <t xml:space="preserve">635 180 </t>
  </si>
  <si>
    <t>Autres impôts directs</t>
  </si>
  <si>
    <t>Taxes sur le CA non récupérable</t>
  </si>
  <si>
    <t>635 300</t>
  </si>
  <si>
    <t>Impôts indirects</t>
  </si>
  <si>
    <t>635 410</t>
  </si>
  <si>
    <t>Droit de mutation</t>
  </si>
  <si>
    <t>635 420</t>
  </si>
  <si>
    <t>Droit d'enregistrement et de timbre - divers</t>
  </si>
  <si>
    <t>AUTRES IMPOTS, TAXES ET VERSEMENTS ASSIMILES (autres organismes)</t>
  </si>
  <si>
    <t>CHARGES DE PERSONNEL</t>
  </si>
  <si>
    <t>REMUNERATIONS DU PERSONNEL</t>
  </si>
  <si>
    <t>641 100</t>
  </si>
  <si>
    <t>Salaires, appointements de base</t>
  </si>
  <si>
    <t>641 200</t>
  </si>
  <si>
    <t>Congés payés</t>
  </si>
  <si>
    <t>641 300</t>
  </si>
  <si>
    <t>Avantages en nature</t>
  </si>
  <si>
    <t>641 400</t>
  </si>
  <si>
    <t>Primes et avantages divers</t>
  </si>
  <si>
    <t>CHARGES DE SECURITE SOCIALE ET DE PREVOYANCE</t>
  </si>
  <si>
    <t>645 100</t>
  </si>
  <si>
    <t>Cotisations URSSAF</t>
  </si>
  <si>
    <t>645 200</t>
  </si>
  <si>
    <t>Cotisations aux mutuelles</t>
  </si>
  <si>
    <t>645 300</t>
  </si>
  <si>
    <t>Cotisations aux caisses de retraites et de prévoyance</t>
  </si>
  <si>
    <t>645 400</t>
  </si>
  <si>
    <t>Cotisations Pôle emploi - Assedic</t>
  </si>
  <si>
    <t>645 500</t>
  </si>
  <si>
    <t>Charges sociales sur primes à payer</t>
  </si>
  <si>
    <t>645 700</t>
  </si>
  <si>
    <t>Charges sociales sur congés à payer</t>
  </si>
  <si>
    <t>645 800</t>
  </si>
  <si>
    <t>Cotisations aux autres organismes sociaux</t>
  </si>
  <si>
    <t>AUTRES CHARGES SOCIALES</t>
  </si>
  <si>
    <t>AUTRES CHARGES DE PERSONNEL</t>
  </si>
  <si>
    <t>AUTRES CHARGES DE GESTION COURANTE</t>
  </si>
  <si>
    <t xml:space="preserve">REDEVANCES POUR CONCESSIONS, BREVETS, LICENCES, DROITS ET VALEURS SIMILAIRES </t>
  </si>
  <si>
    <t>PERTES SUR CREANCES IRRECOUVRABLES</t>
  </si>
  <si>
    <t>654 100</t>
  </si>
  <si>
    <t>Créances de l'exercice</t>
  </si>
  <si>
    <t>654 400</t>
  </si>
  <si>
    <t>Créances des exercices antérieurs</t>
  </si>
  <si>
    <t>QUOTE-PARTS DE RESULTAT SUR OPERATIONS FAITES EN COMMUN</t>
  </si>
  <si>
    <t>CHARGES DIVERSES DE GESTION COURANTE</t>
  </si>
  <si>
    <t xml:space="preserve">CHARGES FINANCIERES </t>
  </si>
  <si>
    <t>CHARGES D'INTERETS</t>
  </si>
  <si>
    <t xml:space="preserve">Intérêts des emprunts et dettes </t>
  </si>
  <si>
    <t>661 500</t>
  </si>
  <si>
    <t>Intérêts des comptes courants débiteurs</t>
  </si>
  <si>
    <t>661 600</t>
  </si>
  <si>
    <t>Intérêts bancaires</t>
  </si>
  <si>
    <t>661 800</t>
  </si>
  <si>
    <t>Intérêts des autres dettes</t>
  </si>
  <si>
    <t>PERTES SUR CREANCES LIEES A DES PARTICIPATIONS</t>
  </si>
  <si>
    <t>ESCOMPTES ACCORDES</t>
  </si>
  <si>
    <t>PERTES DE CHANGE</t>
  </si>
  <si>
    <t>CHARGES NETTES SUR CESSIONS DE VMP</t>
  </si>
  <si>
    <t>AUTRES CHARGES FINANCIERES</t>
  </si>
  <si>
    <t>CHARGES EXCEPTIONNELLES</t>
  </si>
  <si>
    <t>CHARGES EXCEPTIONNELLES SUR OPERATIONS DE GESTION</t>
  </si>
  <si>
    <t>Pénalités, amendes fiscales et pénales</t>
  </si>
  <si>
    <t>Créances devenues irrécouvrables dans l'exercice</t>
  </si>
  <si>
    <t>Autres charges exceptionnelles sur opérations de gestion</t>
  </si>
  <si>
    <t>CHARGES EXCEPTIONNELLES SUR EXERCICES ANTERIEURS</t>
  </si>
  <si>
    <t>VALEURS COMPTABLES DES ELEMENTS D'ACTIFS CEDES</t>
  </si>
  <si>
    <t>Des immobilisations incorporelles</t>
  </si>
  <si>
    <t>Des immobilisations corporelles</t>
  </si>
  <si>
    <t>Des immobilisations financières</t>
  </si>
  <si>
    <t>Autres éléments d'actif</t>
  </si>
  <si>
    <t xml:space="preserve">AUTRES CHARGES EXCEPTIONNELLES </t>
  </si>
  <si>
    <t>DOTATIONS AUX AMORTISSEMENTS ET AUX PROVISIONS</t>
  </si>
  <si>
    <t>DOTATIONS AUX AMORTISSEMENTS ET AUX PROVISIONS - CHARGES D'EXPLOITATION</t>
  </si>
  <si>
    <t>DOTATIONS AUX AMORTISSEMENTS ET PROVISIONS - CHARGES FINANCIERES</t>
  </si>
  <si>
    <t>DOTATIONS AUX AMORTISSEMENTS ET PROVISIONS - CHARGES EXCEPTIONNELLES</t>
  </si>
  <si>
    <t>PARTICIPATION DES SALARIES ET IMPÔTS SUR LES BENEFICES</t>
  </si>
  <si>
    <t>PARTICIPATION DES SALARIES</t>
  </si>
  <si>
    <t>IMPÔTS SUR LES BENEFICES</t>
  </si>
  <si>
    <t>PRODUITS</t>
  </si>
  <si>
    <t>RECETTES</t>
  </si>
  <si>
    <t>VENTES DE MARCHANDISES</t>
  </si>
  <si>
    <t>RABAIS, REMISES ET RISTOURNES ACCORDES PAR L'ENTREPRISE</t>
  </si>
  <si>
    <t>SUBVENTIONS D'EXPLOITATION</t>
  </si>
  <si>
    <t>AUTRES PRODUITS DE GESTION COURANTE</t>
  </si>
  <si>
    <t>PRODUITS FINANCIERS</t>
  </si>
  <si>
    <t>PRODUITS EXCEPTIONNELS</t>
  </si>
  <si>
    <t>PRODUITS EXCEPTIONNELS SUR OPÉRATIONS DE GESTION</t>
  </si>
  <si>
    <t>PRODUITS EXCEPTIONNELS SUR EXERCICES ANTÉRIEURS</t>
  </si>
  <si>
    <t>PRODUITS DES CESSIONS D'ÉLÉMENTS D'ACTIF</t>
  </si>
  <si>
    <t>QUOTE-PART DES SUBVENTIONS D'INVESTISSEMENT VIREE AU RESULTAT DE L'EXERCICE</t>
  </si>
  <si>
    <t>AUTRES PRODUITS EXCEPTIONNELS</t>
  </si>
  <si>
    <t>REPRISES SUR AMORTISSEMENTS ET PROVISIONS</t>
  </si>
  <si>
    <t>REPRISES SUR AMORTISSEMENTS ET PROVISIONS - PRODUITS D'EXPLOITATION</t>
  </si>
  <si>
    <t>REPRISES SUR AMORTISSEMENTS ET PROVISIONS - PRODUITS FINANCIERS</t>
  </si>
  <si>
    <t xml:space="preserve">REPRISES SUR AMORTISSEMENTS ET PROVISIONS - PRODUITS EXCEPTIONNELS </t>
  </si>
  <si>
    <t>TRANSFERTS DE CHARGES D'EXPLOITATION</t>
  </si>
  <si>
    <t>TRANSFERTS DE CHARGES FINANCIERES</t>
  </si>
  <si>
    <t>TRANSFERTS DE CHARGES EXCEPTIONNELLES</t>
  </si>
  <si>
    <t>PLAN DE FINANCEMENT INITIAL</t>
  </si>
  <si>
    <t>BESOINS</t>
  </si>
  <si>
    <t xml:space="preserve">RESSOURCES </t>
  </si>
  <si>
    <t xml:space="preserve"> Frais d'établissement</t>
  </si>
  <si>
    <t xml:space="preserve"> Apports en capital social</t>
  </si>
  <si>
    <t xml:space="preserve">  Frais d'enregistrement</t>
  </si>
  <si>
    <t>Capital - porteur de projet</t>
  </si>
  <si>
    <t xml:space="preserve">  Honoraires</t>
  </si>
  <si>
    <t>Capital - associé</t>
  </si>
  <si>
    <t xml:space="preserve">  Dépôt de marque INPI</t>
  </si>
  <si>
    <t>Capital - Business Angel</t>
  </si>
  <si>
    <t xml:space="preserve">  Droit d'entrée franchise</t>
  </si>
  <si>
    <t xml:space="preserve"> Comptes courants d'associés</t>
  </si>
  <si>
    <t xml:space="preserve"> (s'il y a lieu *)</t>
  </si>
  <si>
    <t xml:space="preserve"> Immobilisations incorporelles</t>
  </si>
  <si>
    <t xml:space="preserve">  Brevet, licences</t>
  </si>
  <si>
    <t xml:space="preserve"> Subvention d'investissement</t>
  </si>
  <si>
    <t xml:space="preserve">  Création site internet</t>
  </si>
  <si>
    <t xml:space="preserve">  Logiciel</t>
  </si>
  <si>
    <t xml:space="preserve">  Fonds de commerce ou droit au bail</t>
  </si>
  <si>
    <t xml:space="preserve"> Prêts d'honneur</t>
  </si>
  <si>
    <t xml:space="preserve"> Immobilisations corporelles</t>
  </si>
  <si>
    <t xml:space="preserve">  Travaux / aménagements</t>
  </si>
  <si>
    <t xml:space="preserve">  Véhicule</t>
  </si>
  <si>
    <t xml:space="preserve">  Mobilier</t>
  </si>
  <si>
    <t xml:space="preserve"> PCE</t>
  </si>
  <si>
    <t xml:space="preserve">  Outillage</t>
  </si>
  <si>
    <t>Terrain</t>
  </si>
  <si>
    <t>Construction</t>
  </si>
  <si>
    <t xml:space="preserve"> Immobilisations financières</t>
  </si>
  <si>
    <t xml:space="preserve">  Garanties sur loyers</t>
  </si>
  <si>
    <t xml:space="preserve"> Emprunts à moyen ou long terme</t>
  </si>
  <si>
    <t xml:space="preserve">  Garanties professionnelles</t>
  </si>
  <si>
    <t xml:space="preserve">  </t>
  </si>
  <si>
    <t xml:space="preserve"> Stock de marchandises</t>
  </si>
  <si>
    <t xml:space="preserve"> Créances clients (s'il y a lieu)</t>
  </si>
  <si>
    <t xml:space="preserve"> Tresorerie - Disponibilités</t>
  </si>
  <si>
    <t xml:space="preserve"> (ou fonds de caisse)</t>
  </si>
  <si>
    <t xml:space="preserve"> TOTAL</t>
  </si>
  <si>
    <t>COMPTES DE RESULTAT PREVISIONNELS</t>
  </si>
  <si>
    <t>NB ventes/jour</t>
  </si>
  <si>
    <t>Prix emballages/vente</t>
  </si>
  <si>
    <t>Achats marchandises (boissons)</t>
  </si>
  <si>
    <t>Prix de vente repas moyen TTC</t>
  </si>
  <si>
    <t>Apport personnel - associés</t>
  </si>
  <si>
    <t xml:space="preserve">  Publicité au démarrage</t>
  </si>
  <si>
    <t>Quantité</t>
  </si>
  <si>
    <t>TTC</t>
  </si>
  <si>
    <t>Total</t>
  </si>
  <si>
    <t>Matériels</t>
  </si>
  <si>
    <t>HT</t>
  </si>
  <si>
    <t>Assurances (camion, local, RC)</t>
  </si>
  <si>
    <t xml:space="preserve">  Matériel (informatique, électrogène, autres)</t>
  </si>
  <si>
    <t>Listing matériels - Camion à pizza intermédiaire</t>
  </si>
  <si>
    <t>four pro à gaz ou élec chmabre 6-8 pizzas système vapeur programmation température et évacuation optimisée</t>
  </si>
  <si>
    <t>réfrigération avancée - système réfrigération multiple zone, bacs gastro congélateur séparé autonomie 72h</t>
  </si>
  <si>
    <t>système énergétique - groupe électrogène silencieux 5-7kw batteries lithium onduleur pro, tableau électrique complet</t>
  </si>
  <si>
    <t>Bac à pâtons hauteur 7cm GI METAL Dimensions : 600x400x70mm</t>
  </si>
  <si>
    <t>Robot multifonction</t>
  </si>
  <si>
    <t>balance connectée</t>
  </si>
  <si>
    <t>mandoline pro</t>
  </si>
  <si>
    <t>tpe</t>
  </si>
  <si>
    <t>caisse tactile avec gestion stocks et imprimante ticket</t>
  </si>
  <si>
    <t>enseigne led sonorisation clim poste de travail, éclairage client</t>
  </si>
  <si>
    <t>pelle à enfourner</t>
  </si>
  <si>
    <t>thermomètre</t>
  </si>
  <si>
    <t>plaques à pizza romaine</t>
  </si>
  <si>
    <t>pelle à défourner</t>
  </si>
  <si>
    <t>roulette à pizza</t>
  </si>
  <si>
    <t>porte commande</t>
  </si>
  <si>
    <t>coupe pate</t>
  </si>
  <si>
    <t>brosse four</t>
  </si>
  <si>
    <t>pétrin professionnel</t>
  </si>
  <si>
    <t>extincteur</t>
  </si>
  <si>
    <t>couteaux</t>
  </si>
  <si>
    <t>serviettes torchons</t>
  </si>
  <si>
    <t>Fournitures consommables</t>
  </si>
  <si>
    <t>VARIATIONS DE STOCKS DE MARCHANDISES et APPROVISIONNEMENTS</t>
  </si>
  <si>
    <t>ACHATS PRESTATIONS DE SERVICE et D'ETUDES</t>
  </si>
  <si>
    <t>Achat de prestations</t>
  </si>
  <si>
    <t>Fournitures non stockables (fluides)</t>
  </si>
  <si>
    <t>Eau</t>
  </si>
  <si>
    <t>Electricité</t>
  </si>
  <si>
    <t>Gaz</t>
  </si>
  <si>
    <t>Fournitures d'entretien</t>
  </si>
  <si>
    <t>Fournitures de petit équipement</t>
  </si>
  <si>
    <t>Achats de marchandises - taux normal tva 20%</t>
  </si>
  <si>
    <t>Achats de marchandises - taux intermédiaire 10%</t>
  </si>
  <si>
    <t>Achats de marchandises - taux réduit de 5,5%</t>
  </si>
  <si>
    <t>Rabais, Remises et Ristounes obtenus sur achats de marchandises</t>
  </si>
  <si>
    <t>Rabais, Remises et Ristounes obtenus sur achats prestations de services</t>
  </si>
  <si>
    <t>SOUS TRAITANCE GENERALE</t>
  </si>
  <si>
    <t>sur biens immobiliers</t>
  </si>
  <si>
    <t>Primes d'assurances - assurances véhicule</t>
  </si>
  <si>
    <t>Documentation</t>
  </si>
  <si>
    <t>Frais de colloques,séminaires, conférences</t>
  </si>
  <si>
    <t>Déplacements, voyages</t>
  </si>
  <si>
    <t>Réceptions</t>
  </si>
  <si>
    <t>Concours divers (cotisations, etc)</t>
  </si>
  <si>
    <t>Frais de recrutement de personnel</t>
  </si>
  <si>
    <t>Ventes sur place ou à emporter  - taux normal 20%</t>
  </si>
  <si>
    <t>Ventes sur place ou à emporter  - taux intermédiaire 10%</t>
  </si>
  <si>
    <t>Ventes sur place ou à emporter  - taux réduit 5,5%</t>
  </si>
  <si>
    <t>Autres droits (dt frais occupation domaine public)</t>
  </si>
  <si>
    <t>Autres matières et fournitures diverses</t>
  </si>
  <si>
    <t>Prévisionnel</t>
  </si>
  <si>
    <t>ACTIF</t>
  </si>
  <si>
    <t>BRUT</t>
  </si>
  <si>
    <t>NET</t>
  </si>
  <si>
    <t>PASSIF</t>
  </si>
  <si>
    <t>ACTIF IMMOBILISE</t>
  </si>
  <si>
    <t>CAPITAUX PROPRES</t>
  </si>
  <si>
    <t>Immobilisations Incorporelles</t>
  </si>
  <si>
    <t>Capital</t>
  </si>
  <si>
    <t xml:space="preserve">  Réserve légale</t>
  </si>
  <si>
    <t xml:space="preserve"> Concesions, brevets</t>
  </si>
  <si>
    <t xml:space="preserve">  Réserve statutaire</t>
  </si>
  <si>
    <t xml:space="preserve"> Fonds commercial</t>
  </si>
  <si>
    <t xml:space="preserve"> Autres immobilisations incorporelles</t>
  </si>
  <si>
    <t>Immobilisations Corporelles</t>
  </si>
  <si>
    <t>Résultat de l'exercice</t>
  </si>
  <si>
    <t xml:space="preserve">  Terrains</t>
  </si>
  <si>
    <t xml:space="preserve">  Constructions</t>
  </si>
  <si>
    <t>Total I</t>
  </si>
  <si>
    <t>Provisions pour risques</t>
  </si>
  <si>
    <t>Provisions pour charges</t>
  </si>
  <si>
    <t xml:space="preserve">  Autres immobilisations corporelles</t>
  </si>
  <si>
    <t>Total II</t>
  </si>
  <si>
    <t>Immobilisations financières</t>
  </si>
  <si>
    <t xml:space="preserve"> Créances rattachées à des participations</t>
  </si>
  <si>
    <t>Avances et acomptes reçus</t>
  </si>
  <si>
    <t xml:space="preserve"> Prêts</t>
  </si>
  <si>
    <t>Dettes fournisseurs</t>
  </si>
  <si>
    <t>ACTIF CIRCULANT</t>
  </si>
  <si>
    <t>Autres dettes</t>
  </si>
  <si>
    <t>Produits constatés d'avance</t>
  </si>
  <si>
    <t>Total III</t>
  </si>
  <si>
    <t>Valeurs mobilières de placement</t>
  </si>
  <si>
    <t>Disponibilités</t>
  </si>
  <si>
    <t>Charges constatées d'avance</t>
  </si>
  <si>
    <t>TOTAL GENERAL (I + II)</t>
  </si>
  <si>
    <t>TOTAL GENERAL (I + II + III)</t>
  </si>
  <si>
    <t>(1) dont soldes créditeurs de banques :</t>
  </si>
  <si>
    <t>Réserves réglementées</t>
  </si>
  <si>
    <t>Autres Réserves</t>
  </si>
  <si>
    <t>Report à nouveau (créditeur ou débiteur)</t>
  </si>
  <si>
    <t>Subvention d'investissement</t>
  </si>
  <si>
    <t>Provisions réglementées</t>
  </si>
  <si>
    <t>Autres Provisions pour charges</t>
  </si>
  <si>
    <t>Emprunts et dettes établissements de crédit (1)</t>
  </si>
  <si>
    <t>Participation des salariés aux résultats</t>
  </si>
  <si>
    <t>Autres emprunts et dettes assimilées financières</t>
  </si>
  <si>
    <t xml:space="preserve"> Frais de recherche &amp; développement</t>
  </si>
  <si>
    <t xml:space="preserve">  Installations techniques, matériel et outillage industriel</t>
  </si>
  <si>
    <t>Titres de Participations</t>
  </si>
  <si>
    <t>Autres titres immobilisés</t>
  </si>
  <si>
    <t xml:space="preserve"> Autres créances immobilisées</t>
  </si>
  <si>
    <t>AMORT. (28) &amp; DEP (29)</t>
  </si>
  <si>
    <t xml:space="preserve">Stocks MP </t>
  </si>
  <si>
    <t>Stocks autres approv.</t>
  </si>
  <si>
    <t xml:space="preserve">  Stocks En-cours</t>
  </si>
  <si>
    <t xml:space="preserve">  Stocks de Produits</t>
  </si>
  <si>
    <t>33/34</t>
  </si>
  <si>
    <t>401/403</t>
  </si>
  <si>
    <t>Dette fournisseurs immobilisations</t>
  </si>
  <si>
    <t>Créances clients</t>
  </si>
  <si>
    <t>411/413/416/418</t>
  </si>
  <si>
    <t>Avances et acomptes versés</t>
  </si>
  <si>
    <t>Dettes charges de personnel</t>
  </si>
  <si>
    <t>Dettes de l'Etat et CP</t>
  </si>
  <si>
    <t>Dettes de sécurité sociale et autres org soc</t>
  </si>
  <si>
    <t>DEP. (39/49/59)</t>
  </si>
  <si>
    <t>Bilan au 31/12/2025</t>
  </si>
  <si>
    <t>51/53</t>
  </si>
  <si>
    <t>Stocks de Marchandises</t>
  </si>
  <si>
    <t>Autres emprunts obligataires</t>
  </si>
  <si>
    <t>TABLEAU D'AMORTISSEMENT D'UN EMPRUNT</t>
  </si>
  <si>
    <t>Caratéristiques de l'emprunt</t>
  </si>
  <si>
    <t>Montant emprunté</t>
  </si>
  <si>
    <t>taux intérêt annuel</t>
  </si>
  <si>
    <t>Date de début (JJ/MM/AAAA)</t>
  </si>
  <si>
    <t>Vue globale de l'emprunt</t>
  </si>
  <si>
    <t>Nombre de mensualités</t>
  </si>
  <si>
    <t>Montant mensuel</t>
  </si>
  <si>
    <t>Total versements</t>
  </si>
  <si>
    <t>Coût total</t>
  </si>
  <si>
    <t>Échéance</t>
  </si>
  <si>
    <t>Date</t>
  </si>
  <si>
    <t>Capital amorti</t>
  </si>
  <si>
    <t>Mensualité de remboursement</t>
  </si>
  <si>
    <t>Intérêts</t>
  </si>
  <si>
    <t>Capital restant dû</t>
  </si>
  <si>
    <t>TRESORERIE CUMULEE FIN DE MOIS</t>
  </si>
  <si>
    <t>PASSIF CIRCULANT</t>
  </si>
  <si>
    <t>Régime fiscal eurl</t>
  </si>
  <si>
    <t>Ventes repas</t>
  </si>
  <si>
    <t>Ventes Boissons</t>
  </si>
  <si>
    <t>Achat Boissons</t>
  </si>
  <si>
    <t>Régime fiscal EURL</t>
  </si>
  <si>
    <t>aménagement pro - agencement sur mesure, inox alimentaire, poste de travail ergonomique, évier 2 bacs, rangement optimisés (saladette)</t>
  </si>
  <si>
    <t xml:space="preserve"> </t>
  </si>
  <si>
    <t>Bilan au 31/12/2026</t>
  </si>
  <si>
    <t>Bilan au 31/12/2027</t>
  </si>
  <si>
    <t>Seuil de rentabilité FT PIZZA</t>
  </si>
  <si>
    <r>
      <t xml:space="preserve">IS </t>
    </r>
    <r>
      <rPr>
        <b/>
        <i/>
        <sz val="11"/>
        <color theme="1"/>
        <rFont val="Calibri"/>
        <family val="2"/>
        <scheme val="minor"/>
      </rPr>
      <t>(15% jusqu'à 42500 euros et 25% au-delà)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</si>
</sst>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  <numFmt numFmtId="166" formatCode="_-* #,##0\ [$€-40C]_-;\-* #,##0\ [$€-40C]_-;_-* &quot;-&quot;??\ [$€-40C]_-;_-@_-"/>
    <numFmt numFmtId="167" formatCode="#,##0.00\ &quot;€&quot;"/>
    <numFmt numFmtId="168" formatCode="0.0%"/>
    <numFmt numFmtId="169" formatCode="#,##0.0\ &quot;€&quot;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i/>
      <sz val="16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i/>
      <sz val="16"/>
      <color rgb="FF0070C0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sz val="28"/>
      <color indexed="8"/>
      <name val="Calibri"/>
      <family val="2"/>
    </font>
    <font>
      <b/>
      <sz val="16"/>
      <color theme="1"/>
      <name val="Calibri"/>
      <family val="2"/>
      <scheme val="minor"/>
    </font>
    <font>
      <b/>
      <sz val="14"/>
      <color theme="0"/>
      <name val="Calibri (Corps)"/>
    </font>
    <font>
      <sz val="12"/>
      <color rgb="FFFF0000"/>
      <name val="Calibri"/>
      <family val="2"/>
    </font>
    <font>
      <sz val="12"/>
      <color rgb="FFFF0000"/>
      <name val="Calibri (Corps)_x0000_"/>
    </font>
    <font>
      <sz val="12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1"/>
      <name val="Calibri (Corps)_x0000_"/>
    </font>
    <font>
      <b/>
      <sz val="14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indexed="20"/>
      <name val="Calibri"/>
      <family val="2"/>
    </font>
    <font>
      <b/>
      <sz val="14"/>
      <color indexed="8"/>
      <name val="Calibri (Corps)"/>
    </font>
    <font>
      <b/>
      <sz val="14"/>
      <color theme="1"/>
      <name val="Calibri (Corps)"/>
    </font>
    <font>
      <sz val="12"/>
      <color rgb="FF0070C0"/>
      <name val="Calibri"/>
      <family val="2"/>
    </font>
    <font>
      <sz val="12"/>
      <color rgb="FF0070C0"/>
      <name val="Calibri (Corps)_x0000_"/>
    </font>
    <font>
      <sz val="12"/>
      <color rgb="FF0070C0"/>
      <name val="Calibri (Corps)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sz val="11"/>
      <name val="Arial"/>
      <family val="2"/>
    </font>
    <font>
      <b/>
      <sz val="10"/>
      <color indexed="51"/>
      <name val="Arial"/>
      <family val="2"/>
    </font>
    <font>
      <b/>
      <sz val="20"/>
      <name val="Arial"/>
      <family val="2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D725F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indexed="8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 style="hair">
        <color indexed="8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 style="thin">
        <color indexed="8"/>
      </right>
      <top style="thin">
        <color theme="1"/>
      </top>
      <bottom/>
      <diagonal/>
    </border>
    <border>
      <left style="thin">
        <color indexed="8"/>
      </left>
      <right style="thin">
        <color indexed="13"/>
      </right>
      <top/>
      <bottom style="thin">
        <color indexed="13"/>
      </bottom>
      <diagonal/>
    </border>
    <border>
      <left style="thin">
        <color indexed="13"/>
      </left>
      <right/>
      <top/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13"/>
      </bottom>
      <diagonal/>
    </border>
    <border>
      <left style="thin">
        <color indexed="13"/>
      </left>
      <right/>
      <top style="thin">
        <color indexed="13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/>
      <top style="hair">
        <color indexed="8"/>
      </top>
      <bottom style="thin">
        <color indexed="8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/>
      <bottom style="dotted">
        <color indexed="51"/>
      </bottom>
      <diagonal/>
    </border>
    <border>
      <left/>
      <right style="thin">
        <color indexed="64"/>
      </right>
      <top/>
      <bottom style="dotted">
        <color indexed="51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34" fillId="0" borderId="0"/>
  </cellStyleXfs>
  <cellXfs count="295">
    <xf numFmtId="0" fontId="0" fillId="0" borderId="0" xfId="0"/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4" fontId="0" fillId="0" borderId="1" xfId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1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164" fontId="4" fillId="0" borderId="1" xfId="1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2" applyFont="1" applyBorder="1" applyAlignment="1">
      <alignment horizontal="center" vertical="center"/>
    </xf>
    <xf numFmtId="164" fontId="0" fillId="0" borderId="2" xfId="0" applyNumberFormat="1" applyBorder="1" applyAlignment="1">
      <alignment horizontal="center" vertical="center"/>
    </xf>
    <xf numFmtId="164" fontId="0" fillId="0" borderId="3" xfId="1" applyNumberFormat="1" applyFont="1" applyBorder="1" applyAlignment="1">
      <alignment horizontal="center" vertical="center"/>
    </xf>
    <xf numFmtId="164" fontId="0" fillId="0" borderId="6" xfId="1" applyNumberFormat="1" applyFont="1" applyBorder="1" applyAlignment="1">
      <alignment horizontal="center" vertical="center"/>
    </xf>
    <xf numFmtId="164" fontId="0" fillId="0" borderId="9" xfId="1" applyNumberFormat="1" applyFont="1" applyBorder="1" applyAlignment="1">
      <alignment horizontal="center" vertical="center"/>
    </xf>
    <xf numFmtId="164" fontId="0" fillId="0" borderId="4" xfId="0" applyNumberFormat="1" applyBorder="1" applyAlignment="1">
      <alignment horizontal="center" vertical="center"/>
    </xf>
    <xf numFmtId="164" fontId="0" fillId="0" borderId="5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165" fontId="0" fillId="0" borderId="1" xfId="1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5" fillId="0" borderId="1" xfId="1" applyNumberFormat="1" applyFont="1" applyBorder="1"/>
    <xf numFmtId="0" fontId="6" fillId="0" borderId="0" xfId="0" applyFont="1" applyAlignment="1">
      <alignment horizontal="center" vertical="center"/>
    </xf>
    <xf numFmtId="0" fontId="0" fillId="2" borderId="0" xfId="0" applyFill="1"/>
    <xf numFmtId="164" fontId="0" fillId="2" borderId="1" xfId="1" applyNumberFormat="1" applyFont="1" applyFill="1" applyBorder="1" applyAlignment="1">
      <alignment horizontal="center" vertical="center"/>
    </xf>
    <xf numFmtId="0" fontId="0" fillId="3" borderId="0" xfId="0" applyFill="1"/>
    <xf numFmtId="164" fontId="0" fillId="3" borderId="1" xfId="1" applyNumberFormat="1" applyFont="1" applyFill="1" applyBorder="1" applyAlignment="1">
      <alignment horizontal="center" vertical="center"/>
    </xf>
    <xf numFmtId="164" fontId="0" fillId="3" borderId="12" xfId="1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14" xfId="1" applyNumberFormat="1" applyFont="1" applyBorder="1" applyAlignment="1">
      <alignment horizontal="center" vertical="center"/>
    </xf>
    <xf numFmtId="164" fontId="4" fillId="0" borderId="15" xfId="1" applyNumberFormat="1" applyFont="1" applyBorder="1" applyAlignment="1">
      <alignment horizontal="center" vertical="center"/>
    </xf>
    <xf numFmtId="164" fontId="0" fillId="0" borderId="12" xfId="1" applyNumberFormat="1" applyFont="1" applyBorder="1" applyAlignment="1">
      <alignment horizontal="center" vertical="center"/>
    </xf>
    <xf numFmtId="164" fontId="4" fillId="0" borderId="11" xfId="1" applyNumberFormat="1" applyFont="1" applyBorder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3"/>
    <xf numFmtId="0" fontId="11" fillId="0" borderId="0" xfId="3" applyFont="1" applyAlignment="1">
      <alignment horizontal="right" vertical="center"/>
    </xf>
    <xf numFmtId="167" fontId="12" fillId="0" borderId="25" xfId="3" applyNumberFormat="1" applyFont="1" applyBorder="1" applyAlignment="1">
      <alignment horizontal="center" vertical="center"/>
    </xf>
    <xf numFmtId="0" fontId="13" fillId="0" borderId="0" xfId="3" applyFont="1" applyAlignment="1">
      <alignment horizontal="right" vertical="center"/>
    </xf>
    <xf numFmtId="167" fontId="14" fillId="0" borderId="25" xfId="3" applyNumberFormat="1" applyFont="1" applyBorder="1" applyAlignment="1">
      <alignment horizontal="center" vertical="center"/>
    </xf>
    <xf numFmtId="0" fontId="15" fillId="0" borderId="0" xfId="3" applyFont="1" applyAlignment="1">
      <alignment horizontal="right" vertical="center"/>
    </xf>
    <xf numFmtId="167" fontId="16" fillId="0" borderId="25" xfId="3" applyNumberFormat="1" applyFont="1" applyBorder="1" applyAlignment="1">
      <alignment horizontal="center" vertical="center"/>
    </xf>
    <xf numFmtId="3" fontId="19" fillId="4" borderId="32" xfId="3" applyNumberFormat="1" applyFont="1" applyFill="1" applyBorder="1" applyAlignment="1">
      <alignment horizontal="left" vertical="center"/>
    </xf>
    <xf numFmtId="49" fontId="19" fillId="4" borderId="33" xfId="3" applyNumberFormat="1" applyFont="1" applyFill="1" applyBorder="1" applyAlignment="1">
      <alignment horizontal="left" vertical="center"/>
    </xf>
    <xf numFmtId="167" fontId="19" fillId="4" borderId="34" xfId="3" applyNumberFormat="1" applyFont="1" applyFill="1" applyBorder="1" applyAlignment="1">
      <alignment horizontal="center" vertical="center"/>
    </xf>
    <xf numFmtId="3" fontId="20" fillId="0" borderId="35" xfId="3" applyNumberFormat="1" applyFont="1" applyBorder="1" applyAlignment="1">
      <alignment horizontal="left" vertical="center"/>
    </xf>
    <xf numFmtId="49" fontId="21" fillId="0" borderId="36" xfId="3" applyNumberFormat="1" applyFont="1" applyBorder="1" applyAlignment="1">
      <alignment horizontal="left" vertical="center"/>
    </xf>
    <xf numFmtId="167" fontId="21" fillId="0" borderId="34" xfId="3" applyNumberFormat="1" applyFont="1" applyBorder="1" applyAlignment="1">
      <alignment horizontal="center" vertical="center"/>
    </xf>
    <xf numFmtId="3" fontId="1" fillId="0" borderId="35" xfId="3" applyNumberFormat="1" applyFont="1" applyBorder="1" applyAlignment="1">
      <alignment horizontal="left" vertical="center"/>
    </xf>
    <xf numFmtId="49" fontId="1" fillId="0" borderId="36" xfId="3" applyNumberFormat="1" applyFont="1" applyBorder="1" applyAlignment="1">
      <alignment horizontal="left" vertical="center"/>
    </xf>
    <xf numFmtId="167" fontId="1" fillId="0" borderId="34" xfId="3" applyNumberFormat="1" applyFont="1" applyBorder="1" applyAlignment="1">
      <alignment horizontal="center" vertical="center"/>
    </xf>
    <xf numFmtId="3" fontId="7" fillId="0" borderId="35" xfId="3" applyNumberFormat="1" applyFont="1" applyBorder="1" applyAlignment="1">
      <alignment horizontal="right" vertical="center"/>
    </xf>
    <xf numFmtId="49" fontId="7" fillId="0" borderId="36" xfId="3" applyNumberFormat="1" applyFont="1" applyBorder="1" applyAlignment="1">
      <alignment horizontal="left" vertical="center"/>
    </xf>
    <xf numFmtId="167" fontId="7" fillId="0" borderId="34" xfId="3" applyNumberFormat="1" applyFont="1" applyBorder="1" applyAlignment="1">
      <alignment horizontal="center" vertical="center"/>
    </xf>
    <xf numFmtId="3" fontId="23" fillId="0" borderId="35" xfId="3" applyNumberFormat="1" applyFont="1" applyBorder="1" applyAlignment="1">
      <alignment horizontal="right" vertical="center"/>
    </xf>
    <xf numFmtId="3" fontId="22" fillId="0" borderId="35" xfId="3" applyNumberFormat="1" applyFont="1" applyBorder="1" applyAlignment="1">
      <alignment horizontal="left" vertical="center"/>
    </xf>
    <xf numFmtId="3" fontId="19" fillId="4" borderId="35" xfId="3" applyNumberFormat="1" applyFont="1" applyFill="1" applyBorder="1" applyAlignment="1">
      <alignment horizontal="left" vertical="center"/>
    </xf>
    <xf numFmtId="49" fontId="19" fillId="4" borderId="36" xfId="3" applyNumberFormat="1" applyFont="1" applyFill="1" applyBorder="1" applyAlignment="1">
      <alignment horizontal="left" vertical="center"/>
    </xf>
    <xf numFmtId="3" fontId="24" fillId="0" borderId="35" xfId="3" applyNumberFormat="1" applyFont="1" applyBorder="1" applyAlignment="1">
      <alignment horizontal="left" vertical="center"/>
    </xf>
    <xf numFmtId="49" fontId="23" fillId="0" borderId="36" xfId="3" applyNumberFormat="1" applyFont="1" applyBorder="1" applyAlignment="1">
      <alignment horizontal="left" vertical="center"/>
    </xf>
    <xf numFmtId="167" fontId="25" fillId="0" borderId="34" xfId="3" applyNumberFormat="1" applyFont="1" applyBorder="1" applyAlignment="1">
      <alignment horizontal="center" vertical="center"/>
    </xf>
    <xf numFmtId="167" fontId="26" fillId="4" borderId="34" xfId="3" applyNumberFormat="1" applyFont="1" applyFill="1" applyBorder="1" applyAlignment="1">
      <alignment horizontal="center" vertical="center"/>
    </xf>
    <xf numFmtId="3" fontId="26" fillId="4" borderId="35" xfId="3" applyNumberFormat="1" applyFont="1" applyFill="1" applyBorder="1" applyAlignment="1">
      <alignment horizontal="left" vertical="center"/>
    </xf>
    <xf numFmtId="49" fontId="26" fillId="4" borderId="36" xfId="3" applyNumberFormat="1" applyFont="1" applyFill="1" applyBorder="1" applyAlignment="1">
      <alignment horizontal="left" vertical="center"/>
    </xf>
    <xf numFmtId="3" fontId="27" fillId="0" borderId="35" xfId="3" applyNumberFormat="1" applyFont="1" applyBorder="1" applyAlignment="1">
      <alignment horizontal="left" vertical="center"/>
    </xf>
    <xf numFmtId="0" fontId="20" fillId="0" borderId="35" xfId="3" applyFont="1" applyBorder="1" applyAlignment="1">
      <alignment horizontal="left" vertical="center"/>
    </xf>
    <xf numFmtId="0" fontId="20" fillId="0" borderId="37" xfId="3" applyFont="1" applyBorder="1" applyAlignment="1">
      <alignment horizontal="left" vertical="center"/>
    </xf>
    <xf numFmtId="49" fontId="21" fillId="0" borderId="38" xfId="3" applyNumberFormat="1" applyFont="1" applyBorder="1" applyAlignment="1">
      <alignment horizontal="left" vertical="center"/>
    </xf>
    <xf numFmtId="167" fontId="21" fillId="0" borderId="18" xfId="3" applyNumberFormat="1" applyFont="1" applyBorder="1" applyAlignment="1">
      <alignment horizontal="center" vertical="center"/>
    </xf>
    <xf numFmtId="3" fontId="29" fillId="7" borderId="47" xfId="3" applyNumberFormat="1" applyFont="1" applyFill="1" applyBorder="1" applyAlignment="1">
      <alignment horizontal="left" vertical="center"/>
    </xf>
    <xf numFmtId="49" fontId="29" fillId="7" borderId="48" xfId="3" applyNumberFormat="1" applyFont="1" applyFill="1" applyBorder="1" applyAlignment="1">
      <alignment horizontal="left" vertical="center"/>
    </xf>
    <xf numFmtId="167" fontId="30" fillId="7" borderId="34" xfId="3" applyNumberFormat="1" applyFont="1" applyFill="1" applyBorder="1" applyAlignment="1">
      <alignment horizontal="center" vertical="center"/>
    </xf>
    <xf numFmtId="167" fontId="32" fillId="0" borderId="34" xfId="3" applyNumberFormat="1" applyFont="1" applyBorder="1" applyAlignment="1">
      <alignment horizontal="center" vertical="center"/>
    </xf>
    <xf numFmtId="49" fontId="32" fillId="0" borderId="36" xfId="3" applyNumberFormat="1" applyFont="1" applyBorder="1" applyAlignment="1">
      <alignment horizontal="left" vertical="center"/>
    </xf>
    <xf numFmtId="3" fontId="29" fillId="7" borderId="35" xfId="3" applyNumberFormat="1" applyFont="1" applyFill="1" applyBorder="1" applyAlignment="1">
      <alignment horizontal="left" vertical="center"/>
    </xf>
    <xf numFmtId="49" fontId="29" fillId="7" borderId="36" xfId="3" applyNumberFormat="1" applyFont="1" applyFill="1" applyBorder="1" applyAlignment="1">
      <alignment horizontal="left" vertical="center"/>
    </xf>
    <xf numFmtId="3" fontId="31" fillId="0" borderId="35" xfId="3" applyNumberFormat="1" applyFont="1" applyBorder="1" applyAlignment="1">
      <alignment horizontal="left" vertical="center"/>
    </xf>
    <xf numFmtId="0" fontId="33" fillId="0" borderId="35" xfId="3" applyFont="1" applyBorder="1" applyAlignment="1">
      <alignment horizontal="left" vertical="center"/>
    </xf>
    <xf numFmtId="49" fontId="33" fillId="0" borderId="36" xfId="3" applyNumberFormat="1" applyFont="1" applyBorder="1" applyAlignment="1">
      <alignment horizontal="left" vertical="center"/>
    </xf>
    <xf numFmtId="0" fontId="33" fillId="0" borderId="49" xfId="3" applyFont="1" applyBorder="1" applyAlignment="1">
      <alignment horizontal="left" vertical="center"/>
    </xf>
    <xf numFmtId="49" fontId="33" fillId="0" borderId="50" xfId="3" applyNumberFormat="1" applyFont="1" applyBorder="1" applyAlignment="1">
      <alignment horizontal="left" vertical="center"/>
    </xf>
    <xf numFmtId="0" fontId="34" fillId="8" borderId="0" xfId="4" applyFill="1"/>
    <xf numFmtId="0" fontId="34" fillId="8" borderId="51" xfId="4" applyFill="1" applyBorder="1"/>
    <xf numFmtId="0" fontId="34" fillId="8" borderId="52" xfId="4" applyFill="1" applyBorder="1"/>
    <xf numFmtId="0" fontId="36" fillId="8" borderId="0" xfId="4" applyFont="1" applyFill="1"/>
    <xf numFmtId="0" fontId="34" fillId="8" borderId="60" xfId="4" applyFill="1" applyBorder="1"/>
    <xf numFmtId="0" fontId="37" fillId="8" borderId="0" xfId="4" applyFont="1" applyFill="1"/>
    <xf numFmtId="0" fontId="37" fillId="8" borderId="60" xfId="4" applyFont="1" applyFill="1" applyBorder="1"/>
    <xf numFmtId="0" fontId="34" fillId="8" borderId="61" xfId="4" applyFill="1" applyBorder="1"/>
    <xf numFmtId="0" fontId="34" fillId="8" borderId="62" xfId="4" applyFill="1" applyBorder="1"/>
    <xf numFmtId="0" fontId="37" fillId="8" borderId="0" xfId="4" applyFont="1" applyFill="1" applyAlignment="1">
      <alignment horizontal="left"/>
    </xf>
    <xf numFmtId="0" fontId="37" fillId="8" borderId="0" xfId="4" applyFont="1" applyFill="1" applyAlignment="1">
      <alignment horizontal="left" indent="1"/>
    </xf>
    <xf numFmtId="0" fontId="37" fillId="8" borderId="61" xfId="4" applyFont="1" applyFill="1" applyBorder="1" applyAlignment="1">
      <alignment wrapText="1"/>
    </xf>
    <xf numFmtId="0" fontId="36" fillId="8" borderId="0" xfId="4" applyFont="1" applyFill="1" applyAlignment="1">
      <alignment horizontal="left"/>
    </xf>
    <xf numFmtId="0" fontId="39" fillId="8" borderId="0" xfId="4" applyFont="1" applyFill="1"/>
    <xf numFmtId="0" fontId="34" fillId="8" borderId="57" xfId="4" applyFill="1" applyBorder="1"/>
    <xf numFmtId="0" fontId="34" fillId="8" borderId="63" xfId="4" applyFill="1" applyBorder="1"/>
    <xf numFmtId="0" fontId="40" fillId="8" borderId="0" xfId="4" applyFont="1" applyFill="1" applyAlignment="1">
      <alignment horizontal="right"/>
    </xf>
    <xf numFmtId="17" fontId="40" fillId="8" borderId="0" xfId="4" applyNumberFormat="1" applyFont="1" applyFill="1"/>
    <xf numFmtId="0" fontId="6" fillId="0" borderId="0" xfId="3" applyFont="1"/>
    <xf numFmtId="164" fontId="36" fillId="8" borderId="52" xfId="1" applyNumberFormat="1" applyFont="1" applyFill="1" applyBorder="1" applyAlignment="1">
      <alignment horizontal="right"/>
    </xf>
    <xf numFmtId="164" fontId="37" fillId="8" borderId="52" xfId="1" applyNumberFormat="1" applyFont="1" applyFill="1" applyBorder="1" applyAlignment="1">
      <alignment horizontal="right"/>
    </xf>
    <xf numFmtId="164" fontId="34" fillId="8" borderId="52" xfId="1" applyNumberFormat="1" applyFont="1" applyFill="1" applyBorder="1" applyAlignment="1">
      <alignment horizontal="right"/>
    </xf>
    <xf numFmtId="164" fontId="34" fillId="8" borderId="52" xfId="1" applyNumberFormat="1" applyFont="1" applyFill="1" applyBorder="1"/>
    <xf numFmtId="164" fontId="36" fillId="8" borderId="52" xfId="1" applyNumberFormat="1" applyFont="1" applyFill="1" applyBorder="1"/>
    <xf numFmtId="164" fontId="34" fillId="8" borderId="58" xfId="1" applyNumberFormat="1" applyFont="1" applyFill="1" applyBorder="1"/>
    <xf numFmtId="164" fontId="36" fillId="8" borderId="0" xfId="1" applyNumberFormat="1" applyFont="1" applyFill="1"/>
    <xf numFmtId="164" fontId="37" fillId="8" borderId="0" xfId="1" applyNumberFormat="1" applyFont="1" applyFill="1"/>
    <xf numFmtId="164" fontId="34" fillId="8" borderId="0" xfId="1" applyNumberFormat="1" applyFont="1" applyFill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164" fontId="0" fillId="0" borderId="1" xfId="1" applyNumberFormat="1" applyFont="1" applyBorder="1" applyAlignment="1">
      <alignment horizontal="center"/>
    </xf>
    <xf numFmtId="0" fontId="34" fillId="2" borderId="56" xfId="4" applyFill="1" applyBorder="1"/>
    <xf numFmtId="0" fontId="34" fillId="2" borderId="59" xfId="4" applyFill="1" applyBorder="1"/>
    <xf numFmtId="0" fontId="34" fillId="2" borderId="64" xfId="4" applyFill="1" applyBorder="1"/>
    <xf numFmtId="0" fontId="35" fillId="2" borderId="51" xfId="4" applyFont="1" applyFill="1" applyBorder="1"/>
    <xf numFmtId="0" fontId="34" fillId="2" borderId="51" xfId="4" applyFill="1" applyBorder="1"/>
    <xf numFmtId="164" fontId="36" fillId="2" borderId="51" xfId="1" applyNumberFormat="1" applyFont="1" applyFill="1" applyBorder="1"/>
    <xf numFmtId="164" fontId="36" fillId="2" borderId="58" xfId="1" applyNumberFormat="1" applyFont="1" applyFill="1" applyBorder="1"/>
    <xf numFmtId="0" fontId="34" fillId="0" borderId="61" xfId="4" applyBorder="1"/>
    <xf numFmtId="0" fontId="34" fillId="0" borderId="62" xfId="4" applyBorder="1"/>
    <xf numFmtId="168" fontId="0" fillId="0" borderId="1" xfId="2" applyNumberFormat="1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/>
    </xf>
    <xf numFmtId="44" fontId="6" fillId="0" borderId="0" xfId="1" applyFont="1" applyAlignment="1">
      <alignment horizontal="right"/>
    </xf>
    <xf numFmtId="44" fontId="0" fillId="0" borderId="0" xfId="0" applyNumberFormat="1"/>
    <xf numFmtId="0" fontId="4" fillId="0" borderId="0" xfId="3" applyFont="1" applyAlignment="1">
      <alignment horizontal="right"/>
    </xf>
    <xf numFmtId="0" fontId="45" fillId="0" borderId="0" xfId="0" applyFont="1"/>
    <xf numFmtId="0" fontId="10" fillId="0" borderId="72" xfId="3" applyFont="1" applyBorder="1" applyAlignment="1">
      <alignment horizontal="center" vertical="center"/>
    </xf>
    <xf numFmtId="0" fontId="10" fillId="0" borderId="71" xfId="3" applyFont="1" applyBorder="1" applyAlignment="1">
      <alignment horizontal="center" vertical="center"/>
    </xf>
    <xf numFmtId="0" fontId="18" fillId="0" borderId="25" xfId="3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47" fillId="0" borderId="0" xfId="0" applyFont="1" applyAlignment="1">
      <alignment horizontal="right" vertical="center"/>
    </xf>
    <xf numFmtId="44" fontId="0" fillId="3" borderId="1" xfId="1" applyFont="1" applyFill="1" applyBorder="1" applyAlignment="1">
      <alignment horizontal="center" vertical="center"/>
    </xf>
    <xf numFmtId="0" fontId="0" fillId="3" borderId="1" xfId="1" applyNumberFormat="1" applyFont="1" applyFill="1" applyBorder="1" applyAlignment="1">
      <alignment horizontal="center" vertical="center"/>
    </xf>
    <xf numFmtId="44" fontId="2" fillId="3" borderId="1" xfId="1" applyFont="1" applyFill="1" applyBorder="1" applyAlignment="1">
      <alignment horizontal="center" vertical="center"/>
    </xf>
    <xf numFmtId="44" fontId="2" fillId="10" borderId="1" xfId="1" applyFont="1" applyFill="1" applyBorder="1" applyAlignment="1">
      <alignment horizontal="center" vertical="center"/>
    </xf>
    <xf numFmtId="44" fontId="2" fillId="10" borderId="12" xfId="1" applyFont="1" applyFill="1" applyBorder="1" applyAlignment="1">
      <alignment horizontal="center" vertical="center"/>
    </xf>
    <xf numFmtId="44" fontId="6" fillId="10" borderId="11" xfId="1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0" borderId="1" xfId="1" applyNumberFormat="1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44" fontId="1" fillId="10" borderId="1" xfId="1" applyFont="1" applyFill="1" applyBorder="1" applyAlignment="1">
      <alignment horizontal="center" vertical="center"/>
    </xf>
    <xf numFmtId="0" fontId="1" fillId="3" borderId="1" xfId="1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44" fontId="1" fillId="3" borderId="1" xfId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45" fillId="10" borderId="1" xfId="0" applyFont="1" applyFill="1" applyBorder="1" applyAlignment="1">
      <alignment horizontal="right" vertical="center"/>
    </xf>
    <xf numFmtId="0" fontId="48" fillId="10" borderId="1" xfId="1" applyNumberFormat="1" applyFont="1" applyFill="1" applyBorder="1" applyAlignment="1">
      <alignment horizontal="right" vertical="center"/>
    </xf>
    <xf numFmtId="0" fontId="48" fillId="10" borderId="1" xfId="0" applyFont="1" applyFill="1" applyBorder="1" applyAlignment="1">
      <alignment horizontal="right" vertical="center"/>
    </xf>
    <xf numFmtId="44" fontId="48" fillId="10" borderId="1" xfId="1" applyFont="1" applyFill="1" applyBorder="1" applyAlignment="1">
      <alignment horizontal="right" vertical="center"/>
    </xf>
    <xf numFmtId="0" fontId="48" fillId="10" borderId="1" xfId="0" applyFont="1" applyFill="1" applyBorder="1" applyAlignment="1">
      <alignment horizontal="right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1" fillId="10" borderId="1" xfId="1" applyNumberFormat="1" applyFont="1" applyFill="1" applyBorder="1" applyAlignment="1">
      <alignment horizontal="center" vertical="center" wrapText="1"/>
    </xf>
    <xf numFmtId="44" fontId="0" fillId="0" borderId="0" xfId="0" applyNumberFormat="1" applyAlignment="1">
      <alignment horizontal="center" vertical="center"/>
    </xf>
    <xf numFmtId="44" fontId="6" fillId="3" borderId="11" xfId="1" applyFont="1" applyFill="1" applyBorder="1" applyAlignment="1">
      <alignment horizontal="center" vertical="center"/>
    </xf>
    <xf numFmtId="166" fontId="0" fillId="0" borderId="0" xfId="0" applyNumberFormat="1"/>
    <xf numFmtId="167" fontId="8" fillId="0" borderId="0" xfId="3" applyNumberFormat="1"/>
    <xf numFmtId="0" fontId="4" fillId="11" borderId="1" xfId="0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68" fontId="0" fillId="2" borderId="1" xfId="2" applyNumberFormat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4" fontId="0" fillId="2" borderId="1" xfId="0" applyNumberFormat="1" applyFill="1" applyBorder="1" applyAlignment="1">
      <alignment horizontal="center" vertical="center"/>
    </xf>
    <xf numFmtId="0" fontId="45" fillId="12" borderId="1" xfId="0" applyFont="1" applyFill="1" applyBorder="1" applyAlignment="1">
      <alignment horizontal="right" vertical="center"/>
    </xf>
    <xf numFmtId="0" fontId="0" fillId="13" borderId="1" xfId="0" applyFill="1" applyBorder="1" applyAlignment="1">
      <alignment horizontal="center" vertical="center"/>
    </xf>
    <xf numFmtId="8" fontId="0" fillId="13" borderId="1" xfId="0" applyNumberForma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69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164" fontId="0" fillId="0" borderId="0" xfId="0" applyNumberFormat="1"/>
    <xf numFmtId="164" fontId="7" fillId="0" borderId="0" xfId="1" applyNumberFormat="1" applyFont="1" applyFill="1" applyBorder="1" applyAlignment="1">
      <alignment horizontal="center" vertical="center"/>
    </xf>
    <xf numFmtId="167" fontId="7" fillId="0" borderId="1" xfId="0" applyNumberFormat="1" applyFont="1" applyBorder="1" applyAlignment="1">
      <alignment horizontal="center" vertical="center"/>
    </xf>
    <xf numFmtId="167" fontId="7" fillId="0" borderId="1" xfId="1" applyNumberFormat="1" applyFont="1" applyBorder="1" applyAlignment="1">
      <alignment horizontal="right" vertical="center"/>
    </xf>
    <xf numFmtId="167" fontId="4" fillId="0" borderId="0" xfId="0" applyNumberFormat="1" applyFont="1" applyAlignment="1">
      <alignment horizontal="right" vertical="center"/>
    </xf>
    <xf numFmtId="167" fontId="7" fillId="0" borderId="71" xfId="1" applyNumberFormat="1" applyFont="1" applyBorder="1" applyAlignment="1">
      <alignment horizontal="right" vertical="center"/>
    </xf>
    <xf numFmtId="164" fontId="0" fillId="2" borderId="71" xfId="1" applyNumberFormat="1" applyFont="1" applyFill="1" applyBorder="1" applyAlignment="1">
      <alignment horizontal="center" vertical="center"/>
    </xf>
    <xf numFmtId="164" fontId="0" fillId="14" borderId="1" xfId="1" applyNumberFormat="1" applyFont="1" applyFill="1" applyBorder="1" applyAlignment="1">
      <alignment horizontal="center"/>
    </xf>
    <xf numFmtId="9" fontId="0" fillId="14" borderId="1" xfId="2" applyFont="1" applyFill="1" applyBorder="1" applyAlignment="1">
      <alignment horizontal="center"/>
    </xf>
    <xf numFmtId="9" fontId="0" fillId="14" borderId="71" xfId="2" applyFont="1" applyFill="1" applyBorder="1" applyAlignment="1">
      <alignment horizontal="center"/>
    </xf>
    <xf numFmtId="44" fontId="0" fillId="14" borderId="1" xfId="1" applyFont="1" applyFill="1" applyBorder="1" applyAlignment="1">
      <alignment horizontal="center"/>
    </xf>
    <xf numFmtId="1" fontId="0" fillId="14" borderId="1" xfId="0" applyNumberFormat="1" applyFill="1" applyBorder="1" applyAlignment="1">
      <alignment horizontal="center"/>
    </xf>
    <xf numFmtId="0" fontId="50" fillId="0" borderId="0" xfId="0" applyFont="1" applyAlignment="1">
      <alignment vertical="center"/>
    </xf>
    <xf numFmtId="0" fontId="18" fillId="0" borderId="0" xfId="0" applyFont="1"/>
    <xf numFmtId="0" fontId="0" fillId="11" borderId="0" xfId="0" applyFill="1"/>
    <xf numFmtId="0" fontId="48" fillId="0" borderId="0" xfId="0" applyFont="1"/>
    <xf numFmtId="0" fontId="4" fillId="0" borderId="0" xfId="0" applyFont="1"/>
    <xf numFmtId="164" fontId="0" fillId="15" borderId="1" xfId="1" applyNumberFormat="1" applyFont="1" applyFill="1" applyBorder="1" applyAlignment="1">
      <alignment horizontal="center"/>
    </xf>
    <xf numFmtId="9" fontId="0" fillId="15" borderId="1" xfId="2" applyFont="1" applyFill="1" applyBorder="1" applyAlignment="1">
      <alignment horizontal="center"/>
    </xf>
    <xf numFmtId="9" fontId="0" fillId="15" borderId="71" xfId="2" applyFont="1" applyFill="1" applyBorder="1" applyAlignment="1">
      <alignment horizontal="center"/>
    </xf>
    <xf numFmtId="44" fontId="0" fillId="15" borderId="1" xfId="1" applyFont="1" applyFill="1" applyBorder="1" applyAlignment="1">
      <alignment horizontal="center"/>
    </xf>
    <xf numFmtId="1" fontId="0" fillId="15" borderId="1" xfId="0" applyNumberFormat="1" applyFill="1" applyBorder="1" applyAlignment="1">
      <alignment horizontal="center"/>
    </xf>
    <xf numFmtId="164" fontId="0" fillId="16" borderId="1" xfId="1" applyNumberFormat="1" applyFont="1" applyFill="1" applyBorder="1" applyAlignment="1">
      <alignment horizontal="center"/>
    </xf>
    <xf numFmtId="9" fontId="0" fillId="16" borderId="1" xfId="2" applyFont="1" applyFill="1" applyBorder="1" applyAlignment="1">
      <alignment horizontal="center"/>
    </xf>
    <xf numFmtId="9" fontId="0" fillId="16" borderId="71" xfId="2" applyFont="1" applyFill="1" applyBorder="1" applyAlignment="1">
      <alignment horizontal="center"/>
    </xf>
    <xf numFmtId="44" fontId="0" fillId="16" borderId="1" xfId="1" applyFont="1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51" fillId="0" borderId="0" xfId="3" applyFont="1" applyAlignment="1">
      <alignment horizontal="right"/>
    </xf>
    <xf numFmtId="2" fontId="52" fillId="0" borderId="0" xfId="3" applyNumberFormat="1" applyFont="1"/>
    <xf numFmtId="0" fontId="9" fillId="5" borderId="16" xfId="3" applyFont="1" applyFill="1" applyBorder="1" applyAlignment="1">
      <alignment horizontal="center" vertical="center"/>
    </xf>
    <xf numFmtId="0" fontId="9" fillId="5" borderId="17" xfId="3" applyFont="1" applyFill="1" applyBorder="1" applyAlignment="1">
      <alignment horizontal="center" vertical="center"/>
    </xf>
    <xf numFmtId="0" fontId="9" fillId="5" borderId="19" xfId="3" applyFont="1" applyFill="1" applyBorder="1" applyAlignment="1">
      <alignment horizontal="center" vertical="center"/>
    </xf>
    <xf numFmtId="0" fontId="9" fillId="5" borderId="20" xfId="3" applyFont="1" applyFill="1" applyBorder="1" applyAlignment="1">
      <alignment horizontal="center" vertical="center"/>
    </xf>
    <xf numFmtId="0" fontId="9" fillId="5" borderId="23" xfId="3" applyFont="1" applyFill="1" applyBorder="1" applyAlignment="1">
      <alignment horizontal="center" vertical="center"/>
    </xf>
    <xf numFmtId="0" fontId="9" fillId="5" borderId="24" xfId="3" applyFont="1" applyFill="1" applyBorder="1" applyAlignment="1">
      <alignment horizontal="center" vertical="center"/>
    </xf>
    <xf numFmtId="49" fontId="17" fillId="0" borderId="26" xfId="3" applyNumberFormat="1" applyFont="1" applyBorder="1" applyAlignment="1">
      <alignment horizontal="center" vertical="center"/>
    </xf>
    <xf numFmtId="0" fontId="17" fillId="0" borderId="27" xfId="3" applyFont="1" applyBorder="1" applyAlignment="1">
      <alignment horizontal="center" vertical="center"/>
    </xf>
    <xf numFmtId="0" fontId="17" fillId="0" borderId="28" xfId="3" applyFont="1" applyBorder="1" applyAlignment="1">
      <alignment horizontal="center" vertical="center"/>
    </xf>
    <xf numFmtId="0" fontId="17" fillId="0" borderId="29" xfId="3" applyFont="1" applyBorder="1" applyAlignment="1">
      <alignment horizontal="center" vertical="center"/>
    </xf>
    <xf numFmtId="0" fontId="17" fillId="0" borderId="30" xfId="3" applyFont="1" applyBorder="1" applyAlignment="1">
      <alignment horizontal="center" vertical="center"/>
    </xf>
    <xf numFmtId="0" fontId="17" fillId="0" borderId="31" xfId="3" applyFont="1" applyBorder="1" applyAlignment="1">
      <alignment horizontal="center" vertical="center"/>
    </xf>
    <xf numFmtId="0" fontId="18" fillId="0" borderId="18" xfId="3" applyFont="1" applyBorder="1" applyAlignment="1">
      <alignment horizontal="center" vertical="center" wrapText="1"/>
    </xf>
    <xf numFmtId="0" fontId="18" fillId="0" borderId="21" xfId="3" applyFont="1" applyBorder="1" applyAlignment="1">
      <alignment horizontal="center" vertical="center"/>
    </xf>
    <xf numFmtId="0" fontId="18" fillId="0" borderId="22" xfId="3" applyFont="1" applyBorder="1" applyAlignment="1">
      <alignment horizontal="center" vertical="center"/>
    </xf>
    <xf numFmtId="0" fontId="10" fillId="0" borderId="72" xfId="3" applyFont="1" applyBorder="1" applyAlignment="1">
      <alignment horizontal="center" vertical="center" wrapText="1"/>
    </xf>
    <xf numFmtId="0" fontId="10" fillId="0" borderId="71" xfId="3" applyFont="1" applyBorder="1" applyAlignment="1">
      <alignment horizontal="center" vertical="center" wrapText="1"/>
    </xf>
    <xf numFmtId="0" fontId="28" fillId="6" borderId="39" xfId="3" applyFont="1" applyFill="1" applyBorder="1" applyAlignment="1">
      <alignment horizontal="center" vertical="center"/>
    </xf>
    <xf numFmtId="0" fontId="28" fillId="6" borderId="40" xfId="3" applyFont="1" applyFill="1" applyBorder="1" applyAlignment="1">
      <alignment horizontal="center" vertical="center"/>
    </xf>
    <xf numFmtId="0" fontId="28" fillId="6" borderId="41" xfId="3" applyFont="1" applyFill="1" applyBorder="1" applyAlignment="1">
      <alignment horizontal="center" vertical="center"/>
    </xf>
    <xf numFmtId="0" fontId="28" fillId="6" borderId="42" xfId="3" applyFont="1" applyFill="1" applyBorder="1" applyAlignment="1">
      <alignment horizontal="center" vertical="center"/>
    </xf>
    <xf numFmtId="49" fontId="17" fillId="0" borderId="43" xfId="3" applyNumberFormat="1" applyFont="1" applyBorder="1" applyAlignment="1">
      <alignment horizontal="center" vertical="center"/>
    </xf>
    <xf numFmtId="0" fontId="17" fillId="0" borderId="44" xfId="3" applyFont="1" applyBorder="1" applyAlignment="1">
      <alignment horizontal="center" vertical="center"/>
    </xf>
    <xf numFmtId="0" fontId="17" fillId="0" borderId="45" xfId="3" applyFont="1" applyBorder="1" applyAlignment="1">
      <alignment horizontal="center" vertical="center"/>
    </xf>
    <xf numFmtId="0" fontId="17" fillId="0" borderId="46" xfId="3" applyFont="1" applyBorder="1" applyAlignment="1">
      <alignment horizontal="center" vertical="center"/>
    </xf>
    <xf numFmtId="0" fontId="42" fillId="0" borderId="65" xfId="0" applyFont="1" applyBorder="1" applyAlignment="1">
      <alignment horizontal="center" vertical="center"/>
    </xf>
    <xf numFmtId="0" fontId="42" fillId="0" borderId="66" xfId="0" applyFont="1" applyBorder="1" applyAlignment="1">
      <alignment horizontal="center" vertical="center"/>
    </xf>
    <xf numFmtId="0" fontId="42" fillId="0" borderId="67" xfId="0" applyFont="1" applyBorder="1" applyAlignment="1">
      <alignment horizontal="center" vertical="center"/>
    </xf>
    <xf numFmtId="0" fontId="42" fillId="0" borderId="68" xfId="0" applyFont="1" applyBorder="1" applyAlignment="1">
      <alignment horizontal="center" vertical="center"/>
    </xf>
    <xf numFmtId="0" fontId="42" fillId="0" borderId="69" xfId="0" applyFont="1" applyBorder="1" applyAlignment="1">
      <alignment horizontal="center" vertical="center"/>
    </xf>
    <xf numFmtId="0" fontId="42" fillId="0" borderId="70" xfId="0" applyFont="1" applyBorder="1" applyAlignment="1">
      <alignment horizontal="center" vertical="center"/>
    </xf>
    <xf numFmtId="0" fontId="46" fillId="3" borderId="74" xfId="0" applyFont="1" applyFill="1" applyBorder="1" applyAlignment="1">
      <alignment horizontal="center" vertical="center"/>
    </xf>
    <xf numFmtId="0" fontId="46" fillId="3" borderId="78" xfId="0" applyFont="1" applyFill="1" applyBorder="1" applyAlignment="1">
      <alignment horizontal="center" vertical="center"/>
    </xf>
    <xf numFmtId="0" fontId="46" fillId="3" borderId="75" xfId="0" applyFont="1" applyFill="1" applyBorder="1" applyAlignment="1">
      <alignment horizontal="center" vertical="center"/>
    </xf>
    <xf numFmtId="0" fontId="46" fillId="10" borderId="74" xfId="0" applyFont="1" applyFill="1" applyBorder="1" applyAlignment="1">
      <alignment horizontal="center" vertical="center"/>
    </xf>
    <xf numFmtId="0" fontId="46" fillId="10" borderId="78" xfId="0" applyFont="1" applyFill="1" applyBorder="1" applyAlignment="1">
      <alignment horizontal="center" vertical="center"/>
    </xf>
    <xf numFmtId="0" fontId="46" fillId="10" borderId="75" xfId="0" applyFont="1" applyFill="1" applyBorder="1" applyAlignment="1">
      <alignment horizontal="center" vertical="center"/>
    </xf>
    <xf numFmtId="0" fontId="2" fillId="3" borderId="74" xfId="0" applyFont="1" applyFill="1" applyBorder="1" applyAlignment="1">
      <alignment horizontal="center" vertical="center"/>
    </xf>
    <xf numFmtId="0" fontId="2" fillId="3" borderId="75" xfId="0" applyFont="1" applyFill="1" applyBorder="1" applyAlignment="1">
      <alignment horizontal="center" vertical="center"/>
    </xf>
    <xf numFmtId="0" fontId="2" fillId="10" borderId="74" xfId="0" applyFont="1" applyFill="1" applyBorder="1" applyAlignment="1">
      <alignment horizontal="center" vertical="center"/>
    </xf>
    <xf numFmtId="0" fontId="2" fillId="10" borderId="75" xfId="0" applyFont="1" applyFill="1" applyBorder="1" applyAlignment="1">
      <alignment horizontal="center" vertical="center"/>
    </xf>
    <xf numFmtId="0" fontId="4" fillId="3" borderId="74" xfId="0" applyFont="1" applyFill="1" applyBorder="1" applyAlignment="1">
      <alignment horizontal="center" vertical="center"/>
    </xf>
    <xf numFmtId="0" fontId="4" fillId="3" borderId="75" xfId="0" applyFont="1" applyFill="1" applyBorder="1" applyAlignment="1">
      <alignment horizontal="center" vertical="center"/>
    </xf>
    <xf numFmtId="0" fontId="4" fillId="10" borderId="74" xfId="0" applyFont="1" applyFill="1" applyBorder="1" applyAlignment="1">
      <alignment horizontal="center" vertical="center"/>
    </xf>
    <xf numFmtId="0" fontId="4" fillId="10" borderId="78" xfId="0" applyFont="1" applyFill="1" applyBorder="1" applyAlignment="1">
      <alignment horizontal="center" vertical="center"/>
    </xf>
    <xf numFmtId="0" fontId="4" fillId="3" borderId="78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6" fillId="3" borderId="76" xfId="0" applyFont="1" applyFill="1" applyBorder="1" applyAlignment="1">
      <alignment horizontal="center" vertical="center"/>
    </xf>
    <xf numFmtId="0" fontId="2" fillId="3" borderId="77" xfId="0" applyFont="1" applyFill="1" applyBorder="1" applyAlignment="1">
      <alignment horizontal="center" vertical="center"/>
    </xf>
    <xf numFmtId="0" fontId="2" fillId="3" borderId="73" xfId="0" applyFont="1" applyFill="1" applyBorder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76" xfId="0" applyFont="1" applyFill="1" applyBorder="1" applyAlignment="1">
      <alignment horizontal="center" vertical="center"/>
    </xf>
    <xf numFmtId="0" fontId="2" fillId="10" borderId="77" xfId="0" applyFont="1" applyFill="1" applyBorder="1" applyAlignment="1">
      <alignment horizontal="center" vertical="center"/>
    </xf>
    <xf numFmtId="0" fontId="2" fillId="10" borderId="73" xfId="0" applyFont="1" applyFill="1" applyBorder="1" applyAlignment="1">
      <alignment horizontal="center" vertical="center"/>
    </xf>
    <xf numFmtId="0" fontId="4" fillId="10" borderId="75" xfId="0" applyFont="1" applyFill="1" applyBorder="1" applyAlignment="1">
      <alignment horizontal="center" vertical="center"/>
    </xf>
    <xf numFmtId="0" fontId="38" fillId="8" borderId="52" xfId="4" applyFont="1" applyFill="1" applyBorder="1" applyAlignment="1">
      <alignment horizontal="center" vertical="center" textRotation="180" shrinkToFit="1"/>
    </xf>
    <xf numFmtId="0" fontId="41" fillId="9" borderId="53" xfId="4" applyFont="1" applyFill="1" applyBorder="1" applyAlignment="1">
      <alignment horizontal="center" vertical="center"/>
    </xf>
    <xf numFmtId="0" fontId="41" fillId="9" borderId="54" xfId="4" applyFont="1" applyFill="1" applyBorder="1" applyAlignment="1">
      <alignment horizontal="center" vertical="center"/>
    </xf>
    <xf numFmtId="0" fontId="41" fillId="9" borderId="55" xfId="4" applyFont="1" applyFill="1" applyBorder="1" applyAlignment="1">
      <alignment horizontal="center" vertical="center"/>
    </xf>
    <xf numFmtId="0" fontId="41" fillId="9" borderId="57" xfId="4" applyFont="1" applyFill="1" applyBorder="1" applyAlignment="1">
      <alignment horizontal="center" vertical="center"/>
    </xf>
    <xf numFmtId="0" fontId="41" fillId="9" borderId="51" xfId="4" applyFont="1" applyFill="1" applyBorder="1" applyAlignment="1">
      <alignment horizontal="center" vertical="center"/>
    </xf>
    <xf numFmtId="0" fontId="41" fillId="9" borderId="58" xfId="4" applyFont="1" applyFill="1" applyBorder="1" applyAlignment="1">
      <alignment horizontal="center" vertical="center"/>
    </xf>
    <xf numFmtId="0" fontId="35" fillId="2" borderId="53" xfId="4" applyFont="1" applyFill="1" applyBorder="1" applyAlignment="1">
      <alignment horizontal="center" vertical="center" shrinkToFit="1"/>
    </xf>
    <xf numFmtId="0" fontId="34" fillId="2" borderId="54" xfId="4" applyFill="1" applyBorder="1" applyAlignment="1">
      <alignment horizontal="center" vertical="center" shrinkToFit="1"/>
    </xf>
    <xf numFmtId="0" fontId="34" fillId="2" borderId="55" xfId="4" applyFill="1" applyBorder="1" applyAlignment="1">
      <alignment horizontal="center" vertical="center" shrinkToFit="1"/>
    </xf>
    <xf numFmtId="0" fontId="34" fillId="2" borderId="57" xfId="4" applyFill="1" applyBorder="1" applyAlignment="1">
      <alignment vertical="center" shrinkToFit="1"/>
    </xf>
    <xf numFmtId="0" fontId="34" fillId="2" borderId="51" xfId="4" applyFill="1" applyBorder="1" applyAlignment="1">
      <alignment vertical="center" shrinkToFit="1"/>
    </xf>
    <xf numFmtId="0" fontId="34" fillId="2" borderId="58" xfId="4" applyFill="1" applyBorder="1" applyAlignment="1">
      <alignment vertical="center" shrinkToFit="1"/>
    </xf>
    <xf numFmtId="0" fontId="49" fillId="6" borderId="0" xfId="0" applyFont="1" applyFill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8" fillId="0" borderId="79" xfId="0" applyFont="1" applyBorder="1" applyAlignment="1">
      <alignment horizontal="left" vertical="center"/>
    </xf>
    <xf numFmtId="0" fontId="42" fillId="2" borderId="65" xfId="0" applyFont="1" applyFill="1" applyBorder="1" applyAlignment="1">
      <alignment horizontal="center" vertical="center"/>
    </xf>
    <xf numFmtId="0" fontId="42" fillId="2" borderId="66" xfId="0" applyFont="1" applyFill="1" applyBorder="1" applyAlignment="1">
      <alignment horizontal="center" vertical="center"/>
    </xf>
    <xf numFmtId="0" fontId="42" fillId="2" borderId="67" xfId="0" applyFont="1" applyFill="1" applyBorder="1" applyAlignment="1">
      <alignment horizontal="center" vertical="center"/>
    </xf>
    <xf numFmtId="0" fontId="42" fillId="2" borderId="68" xfId="0" applyFont="1" applyFill="1" applyBorder="1" applyAlignment="1">
      <alignment horizontal="center" vertical="center"/>
    </xf>
    <xf numFmtId="0" fontId="42" fillId="2" borderId="69" xfId="0" applyFont="1" applyFill="1" applyBorder="1" applyAlignment="1">
      <alignment horizontal="center" vertical="center"/>
    </xf>
    <xf numFmtId="0" fontId="42" fillId="2" borderId="70" xfId="0" applyFont="1" applyFill="1" applyBorder="1" applyAlignment="1">
      <alignment horizontal="center" vertical="center"/>
    </xf>
  </cellXfs>
  <cellStyles count="5">
    <cellStyle name="Monétaire" xfId="1" builtinId="4"/>
    <cellStyle name="Normal" xfId="0" builtinId="0"/>
    <cellStyle name="Normal 2" xfId="3" xr:uid="{F93632FB-E584-441C-996F-4DC40A4BC129}"/>
    <cellStyle name="Normal 3" xfId="4" xr:uid="{D28E50BE-5C3A-4A84-94A5-A6A0DAB46AAE}"/>
    <cellStyle name="Pourcentage" xfId="2" builtinId="5"/>
  </cellStyles>
  <dxfs count="0"/>
  <tableStyles count="0" defaultTableStyle="TableStyleMedium2" defaultPivotStyle="PivotStyleLight16"/>
  <colors>
    <mruColors>
      <color rgb="FFFD72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Feuil7!$A$3</c:f>
          <c:strCache>
            <c:ptCount val="1"/>
            <c:pt idx="0">
              <c:v>Seuil de rentabilité FT PIZZA 2025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Seuil de rentabilité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AN1'!$B$13:$B$24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AN1'!$C$13:$C$24</c:f>
              <c:numCache>
                <c:formatCode>_-* #\ ##0\ "€"_-;\-* #\ ##0\ "€"_-;_-* "-"??\ "€"_-;_-@_-</c:formatCode>
                <c:ptCount val="12"/>
                <c:pt idx="0">
                  <c:v>173376.45201456512</c:v>
                </c:pt>
                <c:pt idx="1">
                  <c:v>173376.45201456512</c:v>
                </c:pt>
                <c:pt idx="2">
                  <c:v>173376.45201456512</c:v>
                </c:pt>
                <c:pt idx="3">
                  <c:v>173376.45201456512</c:v>
                </c:pt>
                <c:pt idx="4">
                  <c:v>173376.45201456512</c:v>
                </c:pt>
                <c:pt idx="5">
                  <c:v>173376.45201456512</c:v>
                </c:pt>
                <c:pt idx="6">
                  <c:v>173376.45201456512</c:v>
                </c:pt>
                <c:pt idx="7">
                  <c:v>173376.45201456512</c:v>
                </c:pt>
                <c:pt idx="8">
                  <c:v>173376.45201456512</c:v>
                </c:pt>
                <c:pt idx="9">
                  <c:v>173376.45201456512</c:v>
                </c:pt>
                <c:pt idx="10">
                  <c:v>173376.45201456512</c:v>
                </c:pt>
                <c:pt idx="11">
                  <c:v>173376.45201456512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8BA-43A9-81A7-4DA4CB64BBF3}"/>
            </c:ext>
          </c:extLst>
        </c:ser>
        <c:ser>
          <c:idx val="1"/>
          <c:order val="1"/>
          <c:tx>
            <c:v>CA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AN1'!$B$13:$B$24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AN1'!$E$13:$E$24</c:f>
              <c:numCache>
                <c:formatCode>_-* #\ ##0\ "€"_-;\-* #\ ##0\ "€"_-;_-* "-"??\ "€"_-;_-@_-</c:formatCode>
                <c:ptCount val="12"/>
                <c:pt idx="0">
                  <c:v>18078</c:v>
                </c:pt>
                <c:pt idx="1">
                  <c:v>33798</c:v>
                </c:pt>
                <c:pt idx="2">
                  <c:v>50304</c:v>
                </c:pt>
                <c:pt idx="3">
                  <c:v>67596</c:v>
                </c:pt>
                <c:pt idx="4">
                  <c:v>84888</c:v>
                </c:pt>
                <c:pt idx="5">
                  <c:v>101394</c:v>
                </c:pt>
                <c:pt idx="6">
                  <c:v>119472</c:v>
                </c:pt>
                <c:pt idx="7">
                  <c:v>135978</c:v>
                </c:pt>
                <c:pt idx="8">
                  <c:v>153270</c:v>
                </c:pt>
                <c:pt idx="9">
                  <c:v>171348</c:v>
                </c:pt>
                <c:pt idx="10">
                  <c:v>187068</c:v>
                </c:pt>
                <c:pt idx="11">
                  <c:v>205146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8BA-43A9-81A7-4DA4CB64B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838976"/>
        <c:axId val="1637828416"/>
      </c:lineChart>
      <c:catAx>
        <c:axId val="16378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28416"/>
        <c:crosses val="autoZero"/>
        <c:auto val="1"/>
        <c:lblAlgn val="ctr"/>
        <c:lblOffset val="100"/>
        <c:noMultiLvlLbl val="0"/>
      </c:catAx>
      <c:valAx>
        <c:axId val="1637828416"/>
        <c:scaling>
          <c:orientation val="minMax"/>
        </c:scaling>
        <c:delete val="0"/>
        <c:axPos val="l"/>
        <c:numFmt formatCode="_-* #\ ##0\ &quot;€&quot;_-;\-* #\ 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Feuil7!$A$4</c:f>
          <c:strCache>
            <c:ptCount val="1"/>
            <c:pt idx="0">
              <c:v>Seuil de rentabilité FT PIZZA 2026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Seuil de rentabilité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AN2'!$B$13:$B$24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AN2'!$C$13:$C$24</c:f>
              <c:numCache>
                <c:formatCode>_-* #\ ##0\ "€"_-;\-* #\ ##0\ "€"_-;_-* "-"??\ "€"_-;_-@_-</c:formatCode>
                <c:ptCount val="12"/>
                <c:pt idx="0">
                  <c:v>184919.11371570849</c:v>
                </c:pt>
                <c:pt idx="1">
                  <c:v>184919.11371570849</c:v>
                </c:pt>
                <c:pt idx="2">
                  <c:v>184919.11371570849</c:v>
                </c:pt>
                <c:pt idx="3">
                  <c:v>184919.11371570849</c:v>
                </c:pt>
                <c:pt idx="4">
                  <c:v>184919.11371570849</c:v>
                </c:pt>
                <c:pt idx="5">
                  <c:v>184919.11371570849</c:v>
                </c:pt>
                <c:pt idx="6">
                  <c:v>184919.11371570849</c:v>
                </c:pt>
                <c:pt idx="7">
                  <c:v>184919.11371570849</c:v>
                </c:pt>
                <c:pt idx="8">
                  <c:v>184919.11371570849</c:v>
                </c:pt>
                <c:pt idx="9">
                  <c:v>184919.11371570849</c:v>
                </c:pt>
                <c:pt idx="10">
                  <c:v>184919.11371570849</c:v>
                </c:pt>
                <c:pt idx="11">
                  <c:v>184919.11371570849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F9-4809-9ACB-7EF6703258F4}"/>
            </c:ext>
          </c:extLst>
        </c:ser>
        <c:ser>
          <c:idx val="1"/>
          <c:order val="1"/>
          <c:tx>
            <c:v>CA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AN2'!$B$13:$B$24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AN2'!$E$13:$E$24</c:f>
              <c:numCache>
                <c:formatCode>_-* #\ ##0\ "€"_-;\-* #\ ##0\ "€"_-;_-* "-"??\ "€"_-;_-@_-</c:formatCode>
                <c:ptCount val="12"/>
                <c:pt idx="0">
                  <c:v>19965.000000000004</c:v>
                </c:pt>
                <c:pt idx="1">
                  <c:v>38115.000000000007</c:v>
                </c:pt>
                <c:pt idx="2">
                  <c:v>58080.000000000015</c:v>
                </c:pt>
                <c:pt idx="3">
                  <c:v>78045.000000000015</c:v>
                </c:pt>
                <c:pt idx="4">
                  <c:v>97102.500000000015</c:v>
                </c:pt>
                <c:pt idx="5">
                  <c:v>117067.50000000001</c:v>
                </c:pt>
                <c:pt idx="6">
                  <c:v>137940.00000000003</c:v>
                </c:pt>
                <c:pt idx="7">
                  <c:v>156997.50000000003</c:v>
                </c:pt>
                <c:pt idx="8">
                  <c:v>176962.50000000003</c:v>
                </c:pt>
                <c:pt idx="9">
                  <c:v>196927.50000000003</c:v>
                </c:pt>
                <c:pt idx="10">
                  <c:v>215985.00000000003</c:v>
                </c:pt>
                <c:pt idx="11">
                  <c:v>236857.50000000003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F9-4809-9ACB-7EF670325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838976"/>
        <c:axId val="1637828416"/>
      </c:lineChart>
      <c:catAx>
        <c:axId val="16378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28416"/>
        <c:crosses val="autoZero"/>
        <c:auto val="1"/>
        <c:lblAlgn val="ctr"/>
        <c:lblOffset val="100"/>
        <c:noMultiLvlLbl val="0"/>
      </c:catAx>
      <c:valAx>
        <c:axId val="1637828416"/>
        <c:scaling>
          <c:orientation val="minMax"/>
        </c:scaling>
        <c:delete val="0"/>
        <c:axPos val="l"/>
        <c:numFmt formatCode="_-* #\ ##0\ &quot;€&quot;_-;\-* #\ 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Feuil7!$A$5</c:f>
          <c:strCache>
            <c:ptCount val="1"/>
            <c:pt idx="0">
              <c:v>Seuil de rentabilité FT PIZZA 2027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Seuil de rentabilité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AN3'!$B$13:$B$24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AN3'!$C$13:$C$24</c:f>
              <c:numCache>
                <c:formatCode>_-* #\ ##0\ "€"_-;\-* #\ ##0\ "€"_-;_-* "-"??\ "€"_-;_-@_-</c:formatCode>
                <c:ptCount val="12"/>
                <c:pt idx="0">
                  <c:v>198999.41142410677</c:v>
                </c:pt>
                <c:pt idx="1">
                  <c:v>198999.41142410677</c:v>
                </c:pt>
                <c:pt idx="2">
                  <c:v>198999.41142410677</c:v>
                </c:pt>
                <c:pt idx="3">
                  <c:v>198999.41142410677</c:v>
                </c:pt>
                <c:pt idx="4">
                  <c:v>198999.41142410677</c:v>
                </c:pt>
                <c:pt idx="5">
                  <c:v>198999.41142410677</c:v>
                </c:pt>
                <c:pt idx="6">
                  <c:v>198999.41142410677</c:v>
                </c:pt>
                <c:pt idx="7">
                  <c:v>198999.41142410677</c:v>
                </c:pt>
                <c:pt idx="8">
                  <c:v>198999.41142410677</c:v>
                </c:pt>
                <c:pt idx="9">
                  <c:v>198999.41142410677</c:v>
                </c:pt>
                <c:pt idx="10">
                  <c:v>198999.41142410677</c:v>
                </c:pt>
                <c:pt idx="11">
                  <c:v>198999.41142410677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DE-428D-8D0F-E879715E572D}"/>
            </c:ext>
          </c:extLst>
        </c:ser>
        <c:ser>
          <c:idx val="1"/>
          <c:order val="1"/>
          <c:tx>
            <c:v>CA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strRef>
              <c:f>'Seuil de rentabilité AN3'!$B$13:$B$24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</c:v>
                </c:pt>
                <c:pt idx="3">
                  <c:v>Avril</c:v>
                </c:pt>
                <c:pt idx="4">
                  <c:v>Mai</c:v>
                </c:pt>
                <c:pt idx="5">
                  <c:v>Juin</c:v>
                </c:pt>
                <c:pt idx="6">
                  <c:v>Juillet</c:v>
                </c:pt>
                <c:pt idx="7">
                  <c:v>Août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'Seuil de rentabilité AN3'!$E$13:$E$24</c:f>
              <c:numCache>
                <c:formatCode>_-* #\ ##0\ "€"_-;\-* #\ ##0\ "€"_-;_-* "-"??\ "€"_-;_-@_-</c:formatCode>
                <c:ptCount val="12"/>
                <c:pt idx="0">
                  <c:v>21001.798125000005</c:v>
                </c:pt>
                <c:pt idx="1">
                  <c:v>41003.51062500001</c:v>
                </c:pt>
                <c:pt idx="2">
                  <c:v>64005.48000000001</c:v>
                </c:pt>
                <c:pt idx="3">
                  <c:v>86007.363750000019</c:v>
                </c:pt>
                <c:pt idx="4">
                  <c:v>107009.16187500002</c:v>
                </c:pt>
                <c:pt idx="5">
                  <c:v>129011.04562500003</c:v>
                </c:pt>
                <c:pt idx="6">
                  <c:v>151012.92937500004</c:v>
                </c:pt>
                <c:pt idx="7">
                  <c:v>173014.81312500004</c:v>
                </c:pt>
                <c:pt idx="8">
                  <c:v>195016.69687500005</c:v>
                </c:pt>
                <c:pt idx="9">
                  <c:v>216018.49500000005</c:v>
                </c:pt>
                <c:pt idx="10">
                  <c:v>238020.37875000006</c:v>
                </c:pt>
                <c:pt idx="11">
                  <c:v>261022.34812500008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EDE-428D-8D0F-E879715E57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37838976"/>
        <c:axId val="1637828416"/>
      </c:lineChart>
      <c:catAx>
        <c:axId val="1637838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28416"/>
        <c:crosses val="autoZero"/>
        <c:auto val="1"/>
        <c:lblAlgn val="ctr"/>
        <c:lblOffset val="100"/>
        <c:noMultiLvlLbl val="0"/>
      </c:catAx>
      <c:valAx>
        <c:axId val="1637828416"/>
        <c:scaling>
          <c:orientation val="minMax"/>
          <c:max val="250000"/>
        </c:scaling>
        <c:delete val="0"/>
        <c:axPos val="l"/>
        <c:numFmt formatCode="_-* #\ ##0\ &quot;€&quot;_-;\-* #\ ##0\ &quot;€&quot;_-;_-* &quot;-&quot;??\ &quot;€&quot;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637838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121926</xdr:rowOff>
    </xdr:from>
    <xdr:to>
      <xdr:col>16</xdr:col>
      <xdr:colOff>472440</xdr:colOff>
      <xdr:row>20</xdr:row>
      <xdr:rowOff>91440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2A5B151-C5F7-7F1E-E78D-F85CE7D40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121926</xdr:rowOff>
    </xdr:from>
    <xdr:to>
      <xdr:col>16</xdr:col>
      <xdr:colOff>472440</xdr:colOff>
      <xdr:row>20</xdr:row>
      <xdr:rowOff>91440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5DED1D9-4DAA-4DD3-940A-BD97F3996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312420</xdr:colOff>
      <xdr:row>1</xdr:row>
      <xdr:rowOff>114306</xdr:rowOff>
    </xdr:from>
    <xdr:to>
      <xdr:col>16</xdr:col>
      <xdr:colOff>472440</xdr:colOff>
      <xdr:row>20</xdr:row>
      <xdr:rowOff>83820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E97E7BAC-E0AF-4F92-9A17-7E7FE1EBCA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B9F9E-39EB-42E5-8833-A9F9688500C0}">
  <dimension ref="A1:F17"/>
  <sheetViews>
    <sheetView tabSelected="1" workbookViewId="0">
      <selection activeCell="E19" sqref="E19"/>
    </sheetView>
  </sheetViews>
  <sheetFormatPr baseColWidth="10" defaultRowHeight="14.4"/>
  <cols>
    <col min="1" max="1" width="5.5546875" customWidth="1"/>
    <col min="2" max="2" width="27.109375" bestFit="1" customWidth="1"/>
  </cols>
  <sheetData>
    <row r="1" spans="1:6" ht="28.8">
      <c r="A1" s="201" t="s">
        <v>0</v>
      </c>
    </row>
    <row r="3" spans="1:6" ht="15.6">
      <c r="B3" s="1" t="s">
        <v>1</v>
      </c>
      <c r="C3" s="10">
        <v>2025</v>
      </c>
      <c r="D3" s="10">
        <f>C3+1</f>
        <v>2026</v>
      </c>
      <c r="E3" s="10">
        <f>D3+1</f>
        <v>2027</v>
      </c>
    </row>
    <row r="4" spans="1:6">
      <c r="B4" s="1" t="s">
        <v>330</v>
      </c>
      <c r="C4" s="196">
        <v>15</v>
      </c>
      <c r="D4" s="206">
        <f>C4*1.05</f>
        <v>15.75</v>
      </c>
      <c r="E4" s="211">
        <f>D4*1.05</f>
        <v>16.537500000000001</v>
      </c>
    </row>
    <row r="5" spans="1:6">
      <c r="B5" s="1" t="s">
        <v>2</v>
      </c>
      <c r="C5" s="197">
        <v>0.34</v>
      </c>
      <c r="D5" s="207">
        <v>0.35</v>
      </c>
      <c r="E5" s="212">
        <v>0.36</v>
      </c>
    </row>
    <row r="6" spans="1:6">
      <c r="B6" s="1" t="s">
        <v>484</v>
      </c>
      <c r="C6" s="198">
        <v>0.24</v>
      </c>
      <c r="D6" s="208">
        <v>0.25</v>
      </c>
      <c r="E6" s="213">
        <v>0.26</v>
      </c>
    </row>
    <row r="7" spans="1:6">
      <c r="B7" s="1" t="s">
        <v>328</v>
      </c>
      <c r="C7" s="199">
        <v>0.27</v>
      </c>
      <c r="D7" s="209">
        <f>C7</f>
        <v>0.27</v>
      </c>
      <c r="E7" s="214">
        <f>D7</f>
        <v>0.27</v>
      </c>
    </row>
    <row r="8" spans="1:6">
      <c r="B8" s="1" t="s">
        <v>327</v>
      </c>
      <c r="C8" s="200">
        <v>50</v>
      </c>
      <c r="D8" s="210">
        <f>C8*1.1</f>
        <v>55.000000000000007</v>
      </c>
      <c r="E8" s="215">
        <f>D8*1.05</f>
        <v>57.750000000000007</v>
      </c>
    </row>
    <row r="9" spans="1:6">
      <c r="B9" s="1" t="s">
        <v>8</v>
      </c>
      <c r="C9" s="9">
        <v>50</v>
      </c>
      <c r="D9" s="9">
        <v>50</v>
      </c>
      <c r="E9" s="9">
        <v>50</v>
      </c>
    </row>
    <row r="10" spans="1:6">
      <c r="B10" s="1" t="s">
        <v>69</v>
      </c>
      <c r="C10" s="125">
        <v>150</v>
      </c>
      <c r="D10" s="125">
        <f>C10*1.05</f>
        <v>157.5</v>
      </c>
      <c r="E10" s="125">
        <f>D10*1.05</f>
        <v>165.375</v>
      </c>
    </row>
    <row r="11" spans="1:6">
      <c r="B11" s="1" t="s">
        <v>4</v>
      </c>
      <c r="C11" s="8">
        <v>7</v>
      </c>
      <c r="D11" s="8">
        <f>C11*1.1</f>
        <v>7.7000000000000011</v>
      </c>
      <c r="E11" s="8">
        <f>D11*1.1</f>
        <v>8.4700000000000024</v>
      </c>
    </row>
    <row r="12" spans="1:6">
      <c r="B12" s="1" t="s">
        <v>3</v>
      </c>
      <c r="C12" s="8">
        <f>C11/100</f>
        <v>7.0000000000000007E-2</v>
      </c>
      <c r="D12" s="8">
        <f>D11/100</f>
        <v>7.7000000000000013E-2</v>
      </c>
      <c r="E12" s="8">
        <f>E11/100</f>
        <v>8.4700000000000025E-2</v>
      </c>
    </row>
    <row r="13" spans="1:6">
      <c r="B13" s="1" t="s">
        <v>5</v>
      </c>
      <c r="C13" s="125">
        <f>'Plan de financement initial'!D23</f>
        <v>39000</v>
      </c>
    </row>
    <row r="14" spans="1:6">
      <c r="B14" s="1" t="s">
        <v>10</v>
      </c>
      <c r="C14" s="3" t="s">
        <v>13</v>
      </c>
    </row>
    <row r="15" spans="1:6">
      <c r="B15" s="1" t="s">
        <v>6</v>
      </c>
      <c r="C15" s="125">
        <f>'Plan de financement initial'!H30</f>
        <v>37000</v>
      </c>
    </row>
    <row r="16" spans="1:6">
      <c r="B16" s="1" t="s">
        <v>7</v>
      </c>
      <c r="C16" s="135">
        <v>3.5000000000000003E-2</v>
      </c>
      <c r="F16" s="139"/>
    </row>
    <row r="17" spans="2:3">
      <c r="B17" s="1" t="s">
        <v>9</v>
      </c>
      <c r="C17" s="3">
        <v>5</v>
      </c>
    </row>
  </sheetData>
  <pageMargins left="0.7" right="0.7" top="0.75" bottom="0.75" header="0.3" footer="0.3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684DF73-12E1-474C-824B-8A0353AC71EB}">
          <x14:formula1>
            <xm:f>'Trésorerie année 1'!$B$5:$M$5</xm:f>
          </x14:formula1>
          <xm:sqref>C14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0DB50-9295-43D9-AB59-67D1F960AFD6}">
  <dimension ref="A1:Q51"/>
  <sheetViews>
    <sheetView zoomScale="95" workbookViewId="0">
      <selection activeCell="B40" sqref="B40"/>
    </sheetView>
  </sheetViews>
  <sheetFormatPr baseColWidth="10" defaultRowHeight="14.4" outlineLevelRow="1"/>
  <cols>
    <col min="1" max="1" width="29.77734375" bestFit="1" customWidth="1"/>
    <col min="2" max="2" width="13" bestFit="1" customWidth="1"/>
    <col min="3" max="7" width="12.88671875" bestFit="1" customWidth="1"/>
    <col min="8" max="8" width="13" bestFit="1" customWidth="1"/>
    <col min="9" max="10" width="12.88671875" bestFit="1" customWidth="1"/>
    <col min="11" max="11" width="13" bestFit="1" customWidth="1"/>
    <col min="12" max="12" width="12.88671875" bestFit="1" customWidth="1"/>
    <col min="13" max="13" width="13" bestFit="1" customWidth="1"/>
    <col min="14" max="14" width="4.21875" customWidth="1"/>
    <col min="15" max="15" width="14" bestFit="1" customWidth="1"/>
  </cols>
  <sheetData>
    <row r="1" spans="1:17" ht="21">
      <c r="A1" s="202" t="s">
        <v>11</v>
      </c>
      <c r="B1" s="33">
        <f>Paramètres!$C$3</f>
        <v>2025</v>
      </c>
    </row>
    <row r="2" spans="1:17">
      <c r="A2" s="141" t="s">
        <v>485</v>
      </c>
    </row>
    <row r="3" spans="1:17">
      <c r="A3" s="31" t="s">
        <v>49</v>
      </c>
      <c r="B3" s="32">
        <v>0</v>
      </c>
      <c r="C3" s="32">
        <f>B51</f>
        <v>10461.905436100511</v>
      </c>
      <c r="D3" s="32">
        <f t="shared" ref="D3:M3" si="0">C51</f>
        <v>11693.810872201024</v>
      </c>
      <c r="E3" s="32">
        <f t="shared" si="0"/>
        <v>13235.716308301538</v>
      </c>
      <c r="F3" s="32">
        <f t="shared" si="0"/>
        <v>14587.621744402051</v>
      </c>
      <c r="G3" s="32">
        <f t="shared" si="0"/>
        <v>15939.527180502564</v>
      </c>
      <c r="H3" s="32">
        <f t="shared" si="0"/>
        <v>17481.432616603081</v>
      </c>
      <c r="I3" s="32">
        <f t="shared" si="0"/>
        <v>19393.338052703592</v>
      </c>
      <c r="J3" s="32">
        <f t="shared" si="0"/>
        <v>20935.243488804106</v>
      </c>
      <c r="K3" s="32">
        <f t="shared" si="0"/>
        <v>22287.148924904621</v>
      </c>
      <c r="L3" s="32">
        <f t="shared" si="0"/>
        <v>24034.203578296529</v>
      </c>
      <c r="M3" s="32">
        <f t="shared" si="0"/>
        <v>24254.494135752779</v>
      </c>
    </row>
    <row r="5" spans="1:17" ht="15.6">
      <c r="B5" s="4" t="s">
        <v>13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O5" s="4" t="s">
        <v>38</v>
      </c>
    </row>
    <row r="6" spans="1:17">
      <c r="A6" t="s">
        <v>12</v>
      </c>
      <c r="B6" s="2">
        <f>NETWORKDAYS(DATE(Paramètres!$C$3,COLUMN()-1,1),EOMONTH(DATE(Paramètres!$C$3,COLUMN()-1,1),0))</f>
        <v>23</v>
      </c>
      <c r="C6" s="2">
        <f>NETWORKDAYS(DATE(Paramètres!$C$3,COLUMN()-1,1),EOMONTH(DATE(Paramètres!$C$3,COLUMN()-1,1),0))</f>
        <v>20</v>
      </c>
      <c r="D6" s="2">
        <f>NETWORKDAYS(DATE(Paramètres!$C$3,COLUMN()-1,1),EOMONTH(DATE(Paramètres!$C$3,COLUMN()-1,1),0))</f>
        <v>21</v>
      </c>
      <c r="E6" s="2">
        <f>NETWORKDAYS(DATE(Paramètres!$C$3,COLUMN()-1,1),EOMONTH(DATE(Paramètres!$C$3,COLUMN()-1,1),0))</f>
        <v>22</v>
      </c>
      <c r="F6" s="2">
        <f>NETWORKDAYS(DATE(Paramètres!$C$3,COLUMN()-1,1),EOMONTH(DATE(Paramètres!$C$3,COLUMN()-1,1),0))</f>
        <v>22</v>
      </c>
      <c r="G6" s="2">
        <f>NETWORKDAYS(DATE(Paramètres!$C$3,COLUMN()-1,1),EOMONTH(DATE(Paramètres!$C$3,COLUMN()-1,1),0))</f>
        <v>21</v>
      </c>
      <c r="H6" s="2">
        <f>NETWORKDAYS(DATE(Paramètres!$C$3,COLUMN()-1,1),EOMONTH(DATE(Paramètres!$C$3,COLUMN()-1,1),0))</f>
        <v>23</v>
      </c>
      <c r="I6" s="2">
        <f>NETWORKDAYS(DATE(Paramètres!$C$3,COLUMN()-1,1),EOMONTH(DATE(Paramètres!$C$3,COLUMN()-1,1),0))</f>
        <v>21</v>
      </c>
      <c r="J6" s="2">
        <f>NETWORKDAYS(DATE(Paramètres!$C$3,COLUMN()-1,1),EOMONTH(DATE(Paramètres!$C$3,COLUMN()-1,1),0))</f>
        <v>22</v>
      </c>
      <c r="K6" s="2">
        <f>NETWORKDAYS(DATE(Paramètres!$C$3,COLUMN()-1,1),EOMONTH(DATE(Paramètres!$C$3,COLUMN()-1,1),0))</f>
        <v>23</v>
      </c>
      <c r="L6" s="2">
        <f>NETWORKDAYS(DATE(Paramètres!$C$3,COLUMN()-1,1),EOMONTH(DATE(Paramètres!$C$3,COLUMN()-1,1),0))</f>
        <v>20</v>
      </c>
      <c r="M6" s="2">
        <f>NETWORKDAYS(DATE(Paramètres!$C$3,COLUMN()-1,1),EOMONTH(DATE(Paramètres!$C$3,COLUMN()-1,1),0))</f>
        <v>23</v>
      </c>
      <c r="O6" s="2">
        <f>SUM(B6:M6)</f>
        <v>261</v>
      </c>
    </row>
    <row r="7" spans="1:17">
      <c r="A7" s="34" t="s">
        <v>482</v>
      </c>
      <c r="B7" s="35">
        <f>(Paramètres!$C$8*Paramètres!$C$4*'Trésorerie année 1'!B6)</f>
        <v>17250</v>
      </c>
      <c r="C7" s="35">
        <f>(Paramètres!$C$8*Paramètres!$C$4*'Trésorerie année 1'!C6)</f>
        <v>15000</v>
      </c>
      <c r="D7" s="35">
        <f>(Paramètres!$C$8*Paramètres!$C$4*'Trésorerie année 1'!D6)</f>
        <v>15750</v>
      </c>
      <c r="E7" s="35">
        <f>(Paramètres!$C$8*Paramètres!$C$4*'Trésorerie année 1'!E6)</f>
        <v>16500</v>
      </c>
      <c r="F7" s="35">
        <f>(Paramètres!$C$8*Paramètres!$C$4*'Trésorerie année 1'!F6)</f>
        <v>16500</v>
      </c>
      <c r="G7" s="35">
        <f>(Paramètres!$C$8*Paramètres!$C$4*'Trésorerie année 1'!G6)</f>
        <v>15750</v>
      </c>
      <c r="H7" s="35">
        <f>(Paramètres!$C$8*Paramètres!$C$4*'Trésorerie année 1'!H6)</f>
        <v>17250</v>
      </c>
      <c r="I7" s="35">
        <f>(Paramètres!$C$8*Paramètres!$C$4*'Trésorerie année 1'!I6)</f>
        <v>15750</v>
      </c>
      <c r="J7" s="35">
        <f>(Paramètres!$C$8*Paramètres!$C$4*'Trésorerie année 1'!J6)</f>
        <v>16500</v>
      </c>
      <c r="K7" s="35">
        <f>(Paramètres!$C$8*Paramètres!$C$4*'Trésorerie année 1'!K6)</f>
        <v>17250</v>
      </c>
      <c r="L7" s="35">
        <f>(Paramètres!$C$8*Paramètres!$C$4*'Trésorerie année 1'!L6)</f>
        <v>15000</v>
      </c>
      <c r="M7" s="35">
        <f>(Paramètres!$C$8*Paramètres!$C$4*'Trésorerie année 1'!M6)</f>
        <v>17250</v>
      </c>
      <c r="O7" s="11">
        <f t="shared" ref="O7:O12" si="1">SUM(B7:M7)</f>
        <v>195750</v>
      </c>
      <c r="P7" s="189"/>
    </row>
    <row r="8" spans="1:17">
      <c r="A8" s="34" t="s">
        <v>483</v>
      </c>
      <c r="B8" s="195">
        <f>Paramètres!$C$8*'Trésorerie année 1'!B6*Paramètres!$C$6*3</f>
        <v>828</v>
      </c>
      <c r="C8" s="195">
        <f>Paramètres!$C$8*'Trésorerie année 1'!C6*Paramètres!$C$6*3</f>
        <v>720</v>
      </c>
      <c r="D8" s="195">
        <f>Paramètres!$C$8*'Trésorerie année 1'!D6*Paramètres!$C$6*3</f>
        <v>756</v>
      </c>
      <c r="E8" s="195">
        <f>Paramètres!$C$8*'Trésorerie année 1'!E6*Paramètres!$C$6*3</f>
        <v>792</v>
      </c>
      <c r="F8" s="195">
        <f>Paramètres!$C$8*'Trésorerie année 1'!F6*Paramètres!$C$6*3</f>
        <v>792</v>
      </c>
      <c r="G8" s="195">
        <f>Paramètres!$C$8*'Trésorerie année 1'!G6*Paramètres!$C$6*3</f>
        <v>756</v>
      </c>
      <c r="H8" s="195">
        <f>Paramètres!$C$8*'Trésorerie année 1'!H6*Paramètres!$C$6*3</f>
        <v>828</v>
      </c>
      <c r="I8" s="195">
        <f>Paramètres!$C$8*'Trésorerie année 1'!I6*Paramètres!$C$6*3</f>
        <v>756</v>
      </c>
      <c r="J8" s="195">
        <f>Paramètres!$C$8*'Trésorerie année 1'!J6*Paramètres!$C$6*3</f>
        <v>792</v>
      </c>
      <c r="K8" s="195">
        <f>Paramètres!$C$8*'Trésorerie année 1'!K6*Paramètres!$C$6*3</f>
        <v>828</v>
      </c>
      <c r="L8" s="195">
        <f>Paramètres!$C$8*'Trésorerie année 1'!L6*Paramètres!$C$6*3</f>
        <v>720</v>
      </c>
      <c r="M8" s="195">
        <f>Paramètres!$C$8*'Trésorerie année 1'!M6*Paramètres!$C$6*3</f>
        <v>828</v>
      </c>
      <c r="O8" s="11">
        <f t="shared" si="1"/>
        <v>9396</v>
      </c>
      <c r="P8" s="189"/>
      <c r="Q8" s="189"/>
    </row>
    <row r="9" spans="1:17">
      <c r="A9" s="36" t="s">
        <v>331</v>
      </c>
      <c r="B9" s="37">
        <f>'Plan de financement initial'!H7</f>
        <v>22000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O9" s="11">
        <f t="shared" ref="O9:O11" si="2">SUM(B9:M9)</f>
        <v>22000</v>
      </c>
      <c r="P9" s="189"/>
      <c r="Q9" s="189"/>
    </row>
    <row r="10" spans="1:17">
      <c r="A10" s="36" t="s">
        <v>51</v>
      </c>
      <c r="B10" s="37">
        <f>Paramètres!$C$15</f>
        <v>37000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O10" s="11">
        <f t="shared" si="2"/>
        <v>37000</v>
      </c>
      <c r="P10" s="189"/>
    </row>
    <row r="11" spans="1:17" ht="15" thickBot="1">
      <c r="A11" s="36" t="s">
        <v>50</v>
      </c>
      <c r="B11" s="38">
        <f>'Plan de financement initial'!H16+'Plan de financement initial'!H19+'Plan de financement initial'!H24</f>
        <v>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O11" s="42">
        <f t="shared" si="2"/>
        <v>0</v>
      </c>
    </row>
    <row r="12" spans="1:17" ht="16.2" thickBot="1">
      <c r="A12" s="39" t="s">
        <v>15</v>
      </c>
      <c r="B12" s="40">
        <f t="shared" ref="B12:M12" si="3">SUM(B7:B11)</f>
        <v>77078</v>
      </c>
      <c r="C12" s="40">
        <f t="shared" si="3"/>
        <v>15720</v>
      </c>
      <c r="D12" s="40">
        <f t="shared" si="3"/>
        <v>16506</v>
      </c>
      <c r="E12" s="40">
        <f t="shared" si="3"/>
        <v>17292</v>
      </c>
      <c r="F12" s="40">
        <f t="shared" si="3"/>
        <v>17292</v>
      </c>
      <c r="G12" s="40">
        <f t="shared" si="3"/>
        <v>16506</v>
      </c>
      <c r="H12" s="40">
        <f t="shared" si="3"/>
        <v>18078</v>
      </c>
      <c r="I12" s="40">
        <f t="shared" si="3"/>
        <v>16506</v>
      </c>
      <c r="J12" s="40">
        <f t="shared" si="3"/>
        <v>17292</v>
      </c>
      <c r="K12" s="40">
        <f t="shared" si="3"/>
        <v>18078</v>
      </c>
      <c r="L12" s="40">
        <f t="shared" si="3"/>
        <v>15720</v>
      </c>
      <c r="M12" s="41">
        <f t="shared" si="3"/>
        <v>18078</v>
      </c>
      <c r="O12" s="43">
        <f t="shared" si="1"/>
        <v>264146</v>
      </c>
      <c r="P12" t="str">
        <f>IF(O12=SUM(O7:O11),"ok","non")</f>
        <v>ok</v>
      </c>
    </row>
    <row r="14" spans="1:17">
      <c r="A14" t="s">
        <v>16</v>
      </c>
      <c r="B14" s="11">
        <f>'Plan de financement initial'!D15+'Plan de financement initial'!D7</f>
        <v>2000</v>
      </c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/>
      <c r="O14" s="11">
        <f>SUM(B14:M14)</f>
        <v>2000</v>
      </c>
    </row>
    <row r="15" spans="1:17">
      <c r="A15" t="s">
        <v>17</v>
      </c>
      <c r="B15" s="11">
        <f>Paramètres!$C$13+'Plan de financement initial'!D25</f>
        <v>48000</v>
      </c>
      <c r="C15" s="11">
        <f>IF(C5=Paramètres!$C$14,Paramètres!$C$13,0)</f>
        <v>0</v>
      </c>
      <c r="D15" s="11">
        <f>IF(D5=Paramètres!$C$14,Paramètres!$C$13,0)</f>
        <v>0</v>
      </c>
      <c r="E15" s="11">
        <f>IF(E5=Paramètres!$C$14,Paramètres!$C$13,0)</f>
        <v>0</v>
      </c>
      <c r="F15" s="11">
        <v>0</v>
      </c>
      <c r="G15" s="11">
        <f>IF(G5=Paramètres!$C$14,Paramètres!$C$13,0)</f>
        <v>0</v>
      </c>
      <c r="H15" s="11">
        <f>IF(H5=Paramètres!$C$14,Paramètres!$C$13,0)</f>
        <v>0</v>
      </c>
      <c r="I15" s="11">
        <f>IF(I5=Paramètres!$C$14,Paramètres!$C$13,0)</f>
        <v>0</v>
      </c>
      <c r="J15" s="11">
        <f>IF(J5=Paramètres!$C$14,Paramètres!$C$13,0)</f>
        <v>0</v>
      </c>
      <c r="K15" s="11">
        <f>IF(K5=Paramètres!$C$14,Paramètres!$C$13,0)</f>
        <v>0</v>
      </c>
      <c r="L15" s="11">
        <f>IF(L5=Paramètres!$C$14,Paramètres!$C$13,0)</f>
        <v>0</v>
      </c>
      <c r="M15" s="11">
        <f>IF(M5=Paramètres!$C$14,Paramètres!$C$13,0)</f>
        <v>0</v>
      </c>
      <c r="O15" s="11">
        <f t="shared" ref="O15:O16" si="4">SUM(B15:M15)</f>
        <v>48000</v>
      </c>
    </row>
    <row r="16" spans="1:17" ht="15.6">
      <c r="A16" s="7" t="s">
        <v>18</v>
      </c>
      <c r="B16" s="13">
        <f>SUM(B14:B15)</f>
        <v>50000</v>
      </c>
      <c r="C16" s="13">
        <f t="shared" ref="C16:M16" si="5">SUM(C14:C15)</f>
        <v>0</v>
      </c>
      <c r="D16" s="13">
        <f t="shared" si="5"/>
        <v>0</v>
      </c>
      <c r="E16" s="13">
        <f t="shared" si="5"/>
        <v>0</v>
      </c>
      <c r="F16" s="13">
        <f t="shared" si="5"/>
        <v>0</v>
      </c>
      <c r="G16" s="13">
        <f t="shared" si="5"/>
        <v>0</v>
      </c>
      <c r="H16" s="13">
        <f t="shared" si="5"/>
        <v>0</v>
      </c>
      <c r="I16" s="13">
        <f t="shared" si="5"/>
        <v>0</v>
      </c>
      <c r="J16" s="13">
        <f t="shared" si="5"/>
        <v>0</v>
      </c>
      <c r="K16" s="13">
        <f t="shared" si="5"/>
        <v>0</v>
      </c>
      <c r="L16" s="13">
        <f t="shared" si="5"/>
        <v>0</v>
      </c>
      <c r="M16" s="13">
        <f t="shared" si="5"/>
        <v>0</v>
      </c>
      <c r="O16" s="13">
        <f t="shared" si="4"/>
        <v>50000</v>
      </c>
      <c r="P16" t="str">
        <f>IF(O16=SUM(O14:O15),"ok","non")</f>
        <v>ok</v>
      </c>
    </row>
    <row r="18" spans="1:17">
      <c r="A18" s="203" t="s">
        <v>19</v>
      </c>
      <c r="B18" s="26">
        <f>B7*Paramètres!$C$5</f>
        <v>5865</v>
      </c>
      <c r="C18" s="26">
        <f>C7*Paramètres!$C$5</f>
        <v>5100</v>
      </c>
      <c r="D18" s="26">
        <f>D7*Paramètres!$C$5</f>
        <v>5355</v>
      </c>
      <c r="E18" s="26">
        <f>E7*Paramètres!$C$5</f>
        <v>5610</v>
      </c>
      <c r="F18" s="26">
        <f>F7*Paramètres!$C$5</f>
        <v>5610</v>
      </c>
      <c r="G18" s="26">
        <f>G7*Paramètres!$C$5</f>
        <v>5355</v>
      </c>
      <c r="H18" s="26">
        <f>H7*Paramètres!$C$5</f>
        <v>5865</v>
      </c>
      <c r="I18" s="26">
        <f>I7*Paramètres!$C$5</f>
        <v>5355</v>
      </c>
      <c r="J18" s="26">
        <f>J7*Paramètres!$C$5</f>
        <v>5610</v>
      </c>
      <c r="K18" s="26">
        <f>K7*Paramètres!$C$5</f>
        <v>5865</v>
      </c>
      <c r="L18" s="26">
        <f>L7*Paramètres!$C$5</f>
        <v>5100</v>
      </c>
      <c r="M18" s="26">
        <f>M7*Paramètres!$C$5</f>
        <v>5865</v>
      </c>
      <c r="O18" s="29">
        <f>SUM(B18:M18)</f>
        <v>66555</v>
      </c>
    </row>
    <row r="19" spans="1:17">
      <c r="A19" s="203" t="s">
        <v>20</v>
      </c>
      <c r="B19" s="26">
        <f>Paramètres!$C$7*Paramètres!$C$8*'Trésorerie année 1'!B6</f>
        <v>310.5</v>
      </c>
      <c r="C19" s="26">
        <f>Paramètres!$C$7*Paramètres!$C$8*'Trésorerie année 1'!C6</f>
        <v>270</v>
      </c>
      <c r="D19" s="26">
        <f>Paramètres!$C$7*Paramètres!$C$8*'Trésorerie année 1'!D6</f>
        <v>283.5</v>
      </c>
      <c r="E19" s="26">
        <f>Paramètres!$C$7*Paramètres!$C$8*'Trésorerie année 1'!E6</f>
        <v>297</v>
      </c>
      <c r="F19" s="26">
        <f>Paramètres!$C$7*Paramètres!$C$8*'Trésorerie année 1'!F6</f>
        <v>297</v>
      </c>
      <c r="G19" s="26">
        <f>Paramètres!$C$7*Paramètres!$C$8*'Trésorerie année 1'!G6</f>
        <v>283.5</v>
      </c>
      <c r="H19" s="26">
        <f>Paramètres!$C$7*Paramètres!$C$8*'Trésorerie année 1'!H6</f>
        <v>310.5</v>
      </c>
      <c r="I19" s="26">
        <f>Paramètres!$C$7*Paramètres!$C$8*'Trésorerie année 1'!I6</f>
        <v>283.5</v>
      </c>
      <c r="J19" s="26">
        <f>Paramètres!$C$7*Paramètres!$C$8*'Trésorerie année 1'!J6</f>
        <v>297</v>
      </c>
      <c r="K19" s="26">
        <f>Paramètres!$C$7*Paramètres!$C$8*'Trésorerie année 1'!K6</f>
        <v>310.5</v>
      </c>
      <c r="L19" s="26">
        <f>Paramètres!$C$7*Paramètres!$C$8*'Trésorerie année 1'!L6</f>
        <v>270</v>
      </c>
      <c r="M19" s="26">
        <f>Paramètres!$C$7*Paramètres!$C$8*'Trésorerie année 1'!M6</f>
        <v>310.5</v>
      </c>
      <c r="O19" s="29">
        <f t="shared" ref="O19:O38" si="6">SUM(B19:M19)</f>
        <v>3523.5</v>
      </c>
    </row>
    <row r="20" spans="1:17">
      <c r="A20" s="203" t="s">
        <v>21</v>
      </c>
      <c r="B20" s="26">
        <f>Paramètres!$C$9*Paramètres!$C$12*'Trésorerie année 1'!B6</f>
        <v>80.500000000000014</v>
      </c>
      <c r="C20" s="26">
        <f>Paramètres!$C$9*Paramètres!$C$12*'Trésorerie année 1'!C6</f>
        <v>70.000000000000014</v>
      </c>
      <c r="D20" s="26">
        <f>Paramètres!$C$9*Paramètres!$C$12*'Trésorerie année 1'!D6</f>
        <v>73.500000000000014</v>
      </c>
      <c r="E20" s="26">
        <f>Paramètres!$C$9*Paramètres!$C$12*'Trésorerie année 1'!E6</f>
        <v>77.000000000000014</v>
      </c>
      <c r="F20" s="26">
        <f>Paramètres!$C$9*Paramètres!$C$12*'Trésorerie année 1'!F6</f>
        <v>77.000000000000014</v>
      </c>
      <c r="G20" s="26">
        <f>Paramètres!$C$9*Paramètres!$C$12*'Trésorerie année 1'!G6</f>
        <v>73.500000000000014</v>
      </c>
      <c r="H20" s="26">
        <f>Paramètres!$C$9*Paramètres!$C$12*'Trésorerie année 1'!H6</f>
        <v>80.500000000000014</v>
      </c>
      <c r="I20" s="26">
        <f>Paramètres!$C$9*Paramètres!$C$12*'Trésorerie année 1'!I6</f>
        <v>73.500000000000014</v>
      </c>
      <c r="J20" s="26">
        <f>Paramètres!$C$9*Paramètres!$C$12*'Trésorerie année 1'!J6</f>
        <v>77.000000000000014</v>
      </c>
      <c r="K20" s="26">
        <f>Paramètres!$C$9*Paramètres!$C$12*'Trésorerie année 1'!K6</f>
        <v>80.500000000000014</v>
      </c>
      <c r="L20" s="26">
        <f>Paramètres!$C$9*Paramètres!$C$12*'Trésorerie année 1'!L6</f>
        <v>70.000000000000014</v>
      </c>
      <c r="M20" s="26">
        <f>Paramètres!$C$9*Paramètres!$C$12*'Trésorerie année 1'!M6</f>
        <v>80.500000000000014</v>
      </c>
      <c r="O20" s="29">
        <f t="shared" si="6"/>
        <v>913.50000000000011</v>
      </c>
    </row>
    <row r="21" spans="1:17">
      <c r="A21" s="203" t="s">
        <v>329</v>
      </c>
      <c r="B21" s="26">
        <f>B8*Paramètres!$C$6</f>
        <v>198.72</v>
      </c>
      <c r="C21" s="26">
        <f>C8*Paramètres!$C$6</f>
        <v>172.79999999999998</v>
      </c>
      <c r="D21" s="26">
        <f>D8*Paramètres!$C$6</f>
        <v>181.44</v>
      </c>
      <c r="E21" s="26">
        <f>E8*Paramètres!$C$6</f>
        <v>190.07999999999998</v>
      </c>
      <c r="F21" s="26">
        <f>F8*Paramètres!$C$6</f>
        <v>190.07999999999998</v>
      </c>
      <c r="G21" s="26">
        <f>G8*Paramètres!$C$6</f>
        <v>181.44</v>
      </c>
      <c r="H21" s="26">
        <f>H8*Paramètres!$C$6</f>
        <v>198.72</v>
      </c>
      <c r="I21" s="26">
        <f>I8*Paramètres!$C$6</f>
        <v>181.44</v>
      </c>
      <c r="J21" s="26">
        <f>J8*Paramètres!$C$6</f>
        <v>190.07999999999998</v>
      </c>
      <c r="K21" s="26">
        <f>K8*Paramètres!$C$6</f>
        <v>198.72</v>
      </c>
      <c r="L21" s="26">
        <f>L8*Paramètres!$C$6</f>
        <v>172.79999999999998</v>
      </c>
      <c r="M21" s="26">
        <f>M8*Paramètres!$C$6</f>
        <v>198.72</v>
      </c>
      <c r="O21" s="29">
        <f t="shared" si="6"/>
        <v>2255.04</v>
      </c>
    </row>
    <row r="22" spans="1:17">
      <c r="A22" s="203" t="s">
        <v>23</v>
      </c>
      <c r="B22" s="26">
        <f>B7*0.05</f>
        <v>862.5</v>
      </c>
      <c r="C22" s="26">
        <f t="shared" ref="C22:M22" si="7">C7*0.05</f>
        <v>750</v>
      </c>
      <c r="D22" s="26">
        <f t="shared" si="7"/>
        <v>787.5</v>
      </c>
      <c r="E22" s="26">
        <f t="shared" si="7"/>
        <v>825</v>
      </c>
      <c r="F22" s="26">
        <f t="shared" si="7"/>
        <v>825</v>
      </c>
      <c r="G22" s="26">
        <f t="shared" si="7"/>
        <v>787.5</v>
      </c>
      <c r="H22" s="26">
        <f t="shared" si="7"/>
        <v>862.5</v>
      </c>
      <c r="I22" s="26">
        <f t="shared" si="7"/>
        <v>787.5</v>
      </c>
      <c r="J22" s="26">
        <f t="shared" si="7"/>
        <v>825</v>
      </c>
      <c r="K22" s="26">
        <f t="shared" si="7"/>
        <v>862.5</v>
      </c>
      <c r="L22" s="26">
        <f t="shared" si="7"/>
        <v>750</v>
      </c>
      <c r="M22" s="26">
        <f t="shared" si="7"/>
        <v>862.5</v>
      </c>
      <c r="O22" s="29">
        <f t="shared" si="6"/>
        <v>9787.5</v>
      </c>
    </row>
    <row r="23" spans="1:17">
      <c r="A23" t="s">
        <v>68</v>
      </c>
      <c r="B23" s="26">
        <f>Paramètres!$C$10*'Trésorerie année 1'!B6</f>
        <v>3450</v>
      </c>
      <c r="C23" s="26">
        <f>Paramètres!$C$10*'Trésorerie année 1'!C6</f>
        <v>3000</v>
      </c>
      <c r="D23" s="26">
        <f>Paramètres!$C$10*'Trésorerie année 1'!D6</f>
        <v>3150</v>
      </c>
      <c r="E23" s="26">
        <f>Paramètres!$C$10*'Trésorerie année 1'!E6</f>
        <v>3300</v>
      </c>
      <c r="F23" s="26">
        <f>Paramètres!$C$10*'Trésorerie année 1'!F6</f>
        <v>3300</v>
      </c>
      <c r="G23" s="26">
        <f>Paramètres!$C$10*'Trésorerie année 1'!G6</f>
        <v>3150</v>
      </c>
      <c r="H23" s="26">
        <f>Paramètres!$C$10*'Trésorerie année 1'!H6</f>
        <v>3450</v>
      </c>
      <c r="I23" s="26">
        <f>Paramètres!$C$10*'Trésorerie année 1'!I6</f>
        <v>3150</v>
      </c>
      <c r="J23" s="26">
        <f>Paramètres!$C$10*'Trésorerie année 1'!J6</f>
        <v>3300</v>
      </c>
      <c r="K23" s="26">
        <f>Paramètres!$C$10*'Trésorerie année 1'!K6</f>
        <v>3450</v>
      </c>
      <c r="L23" s="26">
        <f>Paramètres!$C$10*'Trésorerie année 1'!L6</f>
        <v>3000</v>
      </c>
      <c r="M23" s="26">
        <f>Paramètres!$C$10*'Trésorerie année 1'!M6</f>
        <v>3450</v>
      </c>
      <c r="O23" s="29">
        <f t="shared" ref="O23:O37" si="8">SUM(B23:M23)</f>
        <v>39150</v>
      </c>
    </row>
    <row r="24" spans="1:17">
      <c r="A24" t="s">
        <v>56</v>
      </c>
      <c r="B24" s="26">
        <v>500</v>
      </c>
      <c r="C24" s="26">
        <v>500</v>
      </c>
      <c r="D24" s="26">
        <v>500</v>
      </c>
      <c r="E24" s="26">
        <v>500</v>
      </c>
      <c r="F24" s="26">
        <v>500</v>
      </c>
      <c r="G24" s="26">
        <v>500</v>
      </c>
      <c r="H24" s="26">
        <v>500</v>
      </c>
      <c r="I24" s="26">
        <v>500</v>
      </c>
      <c r="J24" s="26">
        <v>500</v>
      </c>
      <c r="K24" s="26">
        <v>500</v>
      </c>
      <c r="L24" s="26">
        <v>500</v>
      </c>
      <c r="M24" s="26">
        <v>500</v>
      </c>
      <c r="O24" s="29">
        <f t="shared" si="8"/>
        <v>6000</v>
      </c>
    </row>
    <row r="25" spans="1:17">
      <c r="A25" t="s">
        <v>53</v>
      </c>
      <c r="B25" s="26">
        <f>20</f>
        <v>20</v>
      </c>
      <c r="C25" s="26">
        <v>20</v>
      </c>
      <c r="D25" s="26">
        <v>20</v>
      </c>
      <c r="E25" s="26">
        <v>20</v>
      </c>
      <c r="F25" s="26">
        <v>20</v>
      </c>
      <c r="G25" s="26">
        <v>20</v>
      </c>
      <c r="H25" s="26">
        <v>20</v>
      </c>
      <c r="I25" s="26">
        <v>20</v>
      </c>
      <c r="J25" s="26">
        <v>20</v>
      </c>
      <c r="K25" s="26">
        <v>20</v>
      </c>
      <c r="L25" s="26">
        <v>20</v>
      </c>
      <c r="M25" s="26">
        <v>20</v>
      </c>
      <c r="O25" s="29">
        <f t="shared" si="8"/>
        <v>240</v>
      </c>
    </row>
    <row r="26" spans="1:17">
      <c r="A26" s="203" t="s">
        <v>52</v>
      </c>
      <c r="B26" s="26">
        <f>(B7+B8)*0.01</f>
        <v>180.78</v>
      </c>
      <c r="C26" s="26">
        <f t="shared" ref="C26:M26" si="9">(C7+C8)*0.01</f>
        <v>157.20000000000002</v>
      </c>
      <c r="D26" s="26">
        <f t="shared" si="9"/>
        <v>165.06</v>
      </c>
      <c r="E26" s="26">
        <f t="shared" si="9"/>
        <v>172.92000000000002</v>
      </c>
      <c r="F26" s="26">
        <f t="shared" si="9"/>
        <v>172.92000000000002</v>
      </c>
      <c r="G26" s="26">
        <f t="shared" si="9"/>
        <v>165.06</v>
      </c>
      <c r="H26" s="26">
        <f t="shared" si="9"/>
        <v>180.78</v>
      </c>
      <c r="I26" s="26">
        <f t="shared" si="9"/>
        <v>165.06</v>
      </c>
      <c r="J26" s="26">
        <f t="shared" si="9"/>
        <v>172.92000000000002</v>
      </c>
      <c r="K26" s="26">
        <f t="shared" si="9"/>
        <v>180.78</v>
      </c>
      <c r="L26" s="26">
        <f t="shared" si="9"/>
        <v>157.20000000000002</v>
      </c>
      <c r="M26" s="26">
        <f t="shared" si="9"/>
        <v>180.78</v>
      </c>
      <c r="O26" s="29">
        <f t="shared" si="8"/>
        <v>2051.46</v>
      </c>
    </row>
    <row r="27" spans="1:17">
      <c r="A27" t="s">
        <v>61</v>
      </c>
      <c r="B27" s="26">
        <v>700</v>
      </c>
      <c r="C27" s="26"/>
      <c r="D27" s="26"/>
      <c r="E27" s="26">
        <v>500</v>
      </c>
      <c r="F27" s="26"/>
      <c r="G27" s="26"/>
      <c r="H27" s="26">
        <v>250</v>
      </c>
      <c r="I27" s="26"/>
      <c r="J27" s="26"/>
      <c r="K27" s="26">
        <v>250</v>
      </c>
      <c r="L27" s="26"/>
      <c r="M27" s="26"/>
      <c r="O27" s="29">
        <f t="shared" si="8"/>
        <v>1700</v>
      </c>
    </row>
    <row r="28" spans="1:17">
      <c r="A28" t="s">
        <v>25</v>
      </c>
      <c r="B28" s="26">
        <v>150</v>
      </c>
      <c r="C28" s="26">
        <v>150</v>
      </c>
      <c r="D28" s="26">
        <v>150</v>
      </c>
      <c r="E28" s="26">
        <v>150</v>
      </c>
      <c r="F28" s="26">
        <v>150</v>
      </c>
      <c r="G28" s="26">
        <v>150</v>
      </c>
      <c r="H28" s="26">
        <v>150</v>
      </c>
      <c r="I28" s="26">
        <v>150</v>
      </c>
      <c r="J28" s="26">
        <v>150</v>
      </c>
      <c r="K28" s="26">
        <v>150</v>
      </c>
      <c r="L28" s="26">
        <v>150</v>
      </c>
      <c r="M28" s="26">
        <v>150</v>
      </c>
      <c r="O28" s="29">
        <f t="shared" si="8"/>
        <v>1800</v>
      </c>
    </row>
    <row r="29" spans="1:17">
      <c r="A29" t="s">
        <v>338</v>
      </c>
      <c r="B29" s="26">
        <v>225</v>
      </c>
      <c r="C29" s="26">
        <v>225</v>
      </c>
      <c r="D29" s="26">
        <v>225</v>
      </c>
      <c r="E29" s="26">
        <v>225</v>
      </c>
      <c r="F29" s="26">
        <v>225</v>
      </c>
      <c r="G29" s="26">
        <v>225</v>
      </c>
      <c r="H29" s="26">
        <v>225</v>
      </c>
      <c r="I29" s="26">
        <v>225</v>
      </c>
      <c r="J29" s="26">
        <v>225</v>
      </c>
      <c r="K29" s="26">
        <v>225</v>
      </c>
      <c r="L29" s="26">
        <v>225</v>
      </c>
      <c r="M29" s="26">
        <v>225</v>
      </c>
      <c r="O29" s="29">
        <f t="shared" si="8"/>
        <v>2700</v>
      </c>
    </row>
    <row r="30" spans="1:17">
      <c r="A30" t="s">
        <v>54</v>
      </c>
      <c r="B30" s="26"/>
      <c r="C30" s="26"/>
      <c r="D30" s="26"/>
      <c r="E30" s="26"/>
      <c r="F30" s="26">
        <v>500</v>
      </c>
      <c r="G30" s="26"/>
      <c r="H30" s="26"/>
      <c r="I30" s="26"/>
      <c r="J30" s="26">
        <v>500</v>
      </c>
      <c r="K30" s="26"/>
      <c r="L30" s="26"/>
      <c r="M30" s="26"/>
      <c r="O30" s="29">
        <f t="shared" si="8"/>
        <v>1000</v>
      </c>
      <c r="Q30" s="189"/>
    </row>
    <row r="31" spans="1:17">
      <c r="A31" t="s">
        <v>55</v>
      </c>
      <c r="B31" s="26">
        <f>100</f>
        <v>100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O31" s="29">
        <f t="shared" si="8"/>
        <v>1200</v>
      </c>
    </row>
    <row r="32" spans="1:17">
      <c r="A32" t="s">
        <v>24</v>
      </c>
      <c r="B32" s="26">
        <v>100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O32" s="29">
        <f t="shared" si="8"/>
        <v>1200</v>
      </c>
    </row>
    <row r="33" spans="1:17">
      <c r="A33" t="s">
        <v>65</v>
      </c>
      <c r="B33" s="26">
        <v>2200</v>
      </c>
      <c r="C33" s="26">
        <v>2200</v>
      </c>
      <c r="D33" s="26">
        <v>2200</v>
      </c>
      <c r="E33" s="26">
        <v>2200</v>
      </c>
      <c r="F33" s="26">
        <v>2200</v>
      </c>
      <c r="G33" s="26">
        <v>2200</v>
      </c>
      <c r="H33" s="26">
        <v>2200</v>
      </c>
      <c r="I33" s="26">
        <v>2200</v>
      </c>
      <c r="J33" s="26">
        <v>2200</v>
      </c>
      <c r="K33" s="26">
        <v>2200</v>
      </c>
      <c r="L33" s="26">
        <v>2200</v>
      </c>
      <c r="M33" s="26">
        <v>2200</v>
      </c>
      <c r="O33" s="29">
        <f t="shared" si="8"/>
        <v>26400</v>
      </c>
    </row>
    <row r="34" spans="1:17">
      <c r="A34" t="s">
        <v>66</v>
      </c>
      <c r="B34" s="26">
        <f>B33*0.45</f>
        <v>990</v>
      </c>
      <c r="C34" s="26">
        <f t="shared" ref="C34:M34" si="10">C33*0.45</f>
        <v>990</v>
      </c>
      <c r="D34" s="26">
        <f t="shared" si="10"/>
        <v>990</v>
      </c>
      <c r="E34" s="26">
        <f t="shared" si="10"/>
        <v>990</v>
      </c>
      <c r="F34" s="26">
        <f t="shared" si="10"/>
        <v>990</v>
      </c>
      <c r="G34" s="26">
        <f t="shared" si="10"/>
        <v>990</v>
      </c>
      <c r="H34" s="26">
        <f t="shared" si="10"/>
        <v>990</v>
      </c>
      <c r="I34" s="26">
        <f t="shared" si="10"/>
        <v>990</v>
      </c>
      <c r="J34" s="26">
        <f t="shared" si="10"/>
        <v>990</v>
      </c>
      <c r="K34" s="26">
        <f t="shared" si="10"/>
        <v>990</v>
      </c>
      <c r="L34" s="26">
        <f t="shared" si="10"/>
        <v>990</v>
      </c>
      <c r="M34" s="26">
        <f t="shared" si="10"/>
        <v>990</v>
      </c>
      <c r="N34" s="26"/>
      <c r="O34" s="29">
        <f t="shared" si="8"/>
        <v>11880</v>
      </c>
    </row>
    <row r="35" spans="1:17">
      <c r="A35" t="s">
        <v>57</v>
      </c>
      <c r="B35" s="26">
        <v>10</v>
      </c>
      <c r="C35" s="26">
        <v>10</v>
      </c>
      <c r="D35" s="26">
        <v>10</v>
      </c>
      <c r="E35" s="26">
        <v>10</v>
      </c>
      <c r="F35" s="26">
        <v>10</v>
      </c>
      <c r="G35" s="26">
        <v>10</v>
      </c>
      <c r="H35" s="26">
        <v>10</v>
      </c>
      <c r="I35" s="26">
        <v>10</v>
      </c>
      <c r="J35" s="26">
        <v>10</v>
      </c>
      <c r="K35" s="26">
        <v>10</v>
      </c>
      <c r="L35" s="26">
        <v>10</v>
      </c>
      <c r="M35" s="26">
        <v>10</v>
      </c>
      <c r="O35" s="29">
        <f t="shared" si="8"/>
        <v>120</v>
      </c>
    </row>
    <row r="36" spans="1:17">
      <c r="A36" t="s">
        <v>22</v>
      </c>
      <c r="B36" s="27">
        <f>IF(Paramètres!$C$15="",0,-PMT(Paramètres!$C$16/12,Paramètres!$C$17*12,Paramètres!$C$15))</f>
        <v>673.09456389948684</v>
      </c>
      <c r="C36" s="27">
        <f>IF(Paramètres!$C$15="",0,-PMT(Paramètres!$C$16/12,Paramètres!$C$17*12,Paramètres!$C$15))</f>
        <v>673.09456389948684</v>
      </c>
      <c r="D36" s="27">
        <f>IF(Paramètres!$C$15="",0,-PMT(Paramètres!$C$16/12,Paramètres!$C$17*12,Paramètres!$C$15))</f>
        <v>673.09456389948684</v>
      </c>
      <c r="E36" s="27">
        <f>IF(Paramètres!$C$15="",0,-PMT(Paramètres!$C$16/12,Paramètres!$C$17*12,Paramètres!$C$15))</f>
        <v>673.09456389948684</v>
      </c>
      <c r="F36" s="27">
        <f>IF(Paramètres!$C$15="",0,-PMT(Paramètres!$C$16/12,Paramètres!$C$17*12,Paramètres!$C$15))</f>
        <v>673.09456389948684</v>
      </c>
      <c r="G36" s="27">
        <f>IF(Paramètres!$C$15="",0,-PMT(Paramètres!$C$16/12,Paramètres!$C$17*12,Paramètres!$C$15))</f>
        <v>673.09456389948684</v>
      </c>
      <c r="H36" s="27">
        <f>IF(Paramètres!$C$15="",0,-PMT(Paramètres!$C$16/12,Paramètres!$C$17*12,Paramètres!$C$15))</f>
        <v>673.09456389948684</v>
      </c>
      <c r="I36" s="27">
        <f>IF(Paramètres!$C$15="",0,-PMT(Paramètres!$C$16/12,Paramètres!$C$17*12,Paramètres!$C$15))</f>
        <v>673.09456389948684</v>
      </c>
      <c r="J36" s="27">
        <f>IF(Paramètres!$C$15="",0,-PMT(Paramètres!$C$16/12,Paramètres!$C$17*12,Paramètres!$C$15))</f>
        <v>673.09456389948684</v>
      </c>
      <c r="K36" s="27">
        <f>IF(Paramètres!$C$15="",0,-PMT(Paramètres!$C$16/12,Paramètres!$C$17*12,Paramètres!$C$15))</f>
        <v>673.09456389948684</v>
      </c>
      <c r="L36" s="27">
        <f>IF(Paramètres!$C$15="",0,-PMT(Paramètres!$C$16/12,Paramètres!$C$17*12,Paramètres!$C$15))</f>
        <v>673.09456389948684</v>
      </c>
      <c r="M36" s="27">
        <f>IF(Paramètres!$C$15="",0,-PMT(Paramètres!$C$16/12,Paramètres!$C$17*12,Paramètres!$C$15))</f>
        <v>673.09456389948684</v>
      </c>
      <c r="O36" s="29">
        <f t="shared" si="8"/>
        <v>8077.1347667938435</v>
      </c>
      <c r="P36" s="172"/>
      <c r="Q36" s="172"/>
    </row>
    <row r="37" spans="1:17">
      <c r="A37" t="s">
        <v>67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29">
        <f t="shared" si="8"/>
        <v>0</v>
      </c>
    </row>
    <row r="38" spans="1:17" ht="15.6">
      <c r="A38" s="7" t="s">
        <v>26</v>
      </c>
      <c r="B38" s="28">
        <f>SUM(B18:B37)</f>
        <v>16616.094563899489</v>
      </c>
      <c r="C38" s="28">
        <f t="shared" ref="C38:M38" si="11">SUM(C18:C37)</f>
        <v>14488.094563899487</v>
      </c>
      <c r="D38" s="28">
        <f t="shared" si="11"/>
        <v>14964.094563899485</v>
      </c>
      <c r="E38" s="28">
        <f t="shared" si="11"/>
        <v>15940.094563899487</v>
      </c>
      <c r="F38" s="28">
        <f t="shared" si="11"/>
        <v>15940.094563899487</v>
      </c>
      <c r="G38" s="28">
        <f t="shared" si="11"/>
        <v>14964.094563899485</v>
      </c>
      <c r="H38" s="28">
        <f t="shared" si="11"/>
        <v>16166.094563899489</v>
      </c>
      <c r="I38" s="28">
        <f t="shared" si="11"/>
        <v>14964.094563899485</v>
      </c>
      <c r="J38" s="28">
        <f t="shared" si="11"/>
        <v>15940.094563899487</v>
      </c>
      <c r="K38" s="28">
        <f t="shared" si="11"/>
        <v>16166.094563899489</v>
      </c>
      <c r="L38" s="28">
        <f t="shared" si="11"/>
        <v>14488.094563899487</v>
      </c>
      <c r="M38" s="28">
        <f t="shared" si="11"/>
        <v>15916.094563899489</v>
      </c>
      <c r="O38" s="30">
        <f t="shared" si="6"/>
        <v>186553.13476679381</v>
      </c>
      <c r="P38" t="str">
        <f>IF(O38=SUM(O18:O37),"ok","non")</f>
        <v>ok</v>
      </c>
    </row>
    <row r="39" spans="1:17" ht="15.6">
      <c r="A39" s="7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O39" s="45"/>
    </row>
    <row r="40" spans="1:17" outlineLevel="1">
      <c r="A40" s="47" t="s">
        <v>64</v>
      </c>
      <c r="B40" s="191">
        <f>B8/1.2*0.2*0.25</f>
        <v>34.5</v>
      </c>
      <c r="C40" s="191">
        <f t="shared" ref="C40:M40" si="12">C8/1.2*0.2*0.25</f>
        <v>30</v>
      </c>
      <c r="D40" s="191">
        <f t="shared" si="12"/>
        <v>31.5</v>
      </c>
      <c r="E40" s="191">
        <f t="shared" si="12"/>
        <v>33</v>
      </c>
      <c r="F40" s="191">
        <f t="shared" si="12"/>
        <v>33</v>
      </c>
      <c r="G40" s="191">
        <f t="shared" si="12"/>
        <v>31.5</v>
      </c>
      <c r="H40" s="191">
        <f t="shared" si="12"/>
        <v>34.5</v>
      </c>
      <c r="I40" s="191">
        <f t="shared" si="12"/>
        <v>31.5</v>
      </c>
      <c r="J40" s="191">
        <f t="shared" si="12"/>
        <v>33</v>
      </c>
      <c r="K40" s="191">
        <f t="shared" si="12"/>
        <v>34.5</v>
      </c>
      <c r="L40" s="191">
        <f t="shared" si="12"/>
        <v>30</v>
      </c>
      <c r="M40" s="191">
        <f t="shared" si="12"/>
        <v>34.5</v>
      </c>
      <c r="N40" s="48"/>
      <c r="O40" s="192">
        <f>SUM(B40:M40)</f>
        <v>391.5</v>
      </c>
    </row>
    <row r="41" spans="1:17" outlineLevel="1">
      <c r="A41" s="47" t="s">
        <v>63</v>
      </c>
      <c r="B41" s="191">
        <f>B7/1.1*0.1+B8/1.1*0.1*0.75</f>
        <v>1624.6363636363635</v>
      </c>
      <c r="C41" s="191">
        <f t="shared" ref="C41:M41" si="13">C7/1.1*0.1+C8/1.1*0.1*0.75</f>
        <v>1412.7272727272727</v>
      </c>
      <c r="D41" s="191">
        <f t="shared" si="13"/>
        <v>1483.3636363636363</v>
      </c>
      <c r="E41" s="191">
        <f t="shared" si="13"/>
        <v>1554</v>
      </c>
      <c r="F41" s="191">
        <f t="shared" si="13"/>
        <v>1554</v>
      </c>
      <c r="G41" s="191">
        <f t="shared" si="13"/>
        <v>1483.3636363636363</v>
      </c>
      <c r="H41" s="191">
        <f t="shared" si="13"/>
        <v>1624.6363636363635</v>
      </c>
      <c r="I41" s="191">
        <f t="shared" si="13"/>
        <v>1483.3636363636363</v>
      </c>
      <c r="J41" s="191">
        <f t="shared" si="13"/>
        <v>1554</v>
      </c>
      <c r="K41" s="191">
        <f t="shared" si="13"/>
        <v>1624.6363636363635</v>
      </c>
      <c r="L41" s="191">
        <f t="shared" si="13"/>
        <v>1412.7272727272727</v>
      </c>
      <c r="M41" s="191">
        <f t="shared" si="13"/>
        <v>1624.6363636363635</v>
      </c>
      <c r="N41" s="48"/>
      <c r="O41" s="192">
        <f t="shared" ref="O41:O42" si="14">SUM(B41:M41)</f>
        <v>18436.090909090908</v>
      </c>
    </row>
    <row r="42" spans="1:17" outlineLevel="1">
      <c r="A42" s="47" t="s">
        <v>62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48"/>
      <c r="O42" s="192">
        <f t="shared" si="14"/>
        <v>0</v>
      </c>
    </row>
    <row r="43" spans="1:17" outlineLevel="1">
      <c r="A43" s="47" t="s">
        <v>58</v>
      </c>
      <c r="B43" s="191">
        <f>(B16/1.2*0.2)+(B19/1.2*0.2)+(B20/1.2*0.2)+(B21/1.2*0.2*0.25)+(B22/1.2*0.2)+(B25/1.2*0.2)+(B26/1.2*0.2)+(B27/1.2*0.2)+(B28/1.2*0.2)+(B30/1.2*0.2)+(B31/1.2*0.2)</f>
        <v>8742.3266666666659</v>
      </c>
      <c r="C43" s="191">
        <f t="shared" ref="C43:M43" si="15">(C16/1.2*0.2)+(C19/1.2*0.2)+(C20/1.2*0.2)+(C21/1.2*0.2*0.25)+(C22/1.2*0.2)+(C25/1.2*0.2)+(C26/1.2*0.2)+(C27/1.2*0.2)+(C28/1.2*0.2)+(C30/1.2*0.2)+(C31/1.2*0.2)</f>
        <v>260.06666666666672</v>
      </c>
      <c r="D43" s="191">
        <f t="shared" si="15"/>
        <v>270.82000000000005</v>
      </c>
      <c r="E43" s="191">
        <f t="shared" si="15"/>
        <v>364.90666666666669</v>
      </c>
      <c r="F43" s="191">
        <f t="shared" si="15"/>
        <v>364.90666666666669</v>
      </c>
      <c r="G43" s="191">
        <f t="shared" si="15"/>
        <v>270.82000000000005</v>
      </c>
      <c r="H43" s="191">
        <f t="shared" si="15"/>
        <v>333.99333333333334</v>
      </c>
      <c r="I43" s="191">
        <f t="shared" si="15"/>
        <v>270.82000000000005</v>
      </c>
      <c r="J43" s="191">
        <f t="shared" si="15"/>
        <v>364.90666666666669</v>
      </c>
      <c r="K43" s="191">
        <f t="shared" si="15"/>
        <v>333.99333333333334</v>
      </c>
      <c r="L43" s="191">
        <f t="shared" si="15"/>
        <v>260.06666666666672</v>
      </c>
      <c r="M43" s="191">
        <f t="shared" si="15"/>
        <v>292.32666666666665</v>
      </c>
      <c r="N43" s="191"/>
      <c r="O43" s="192">
        <f t="shared" ref="O43:O47" si="16">SUM(B43:M43)</f>
        <v>12129.953333333331</v>
      </c>
    </row>
    <row r="44" spans="1:17" outlineLevel="1">
      <c r="A44" s="47" t="s">
        <v>59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48"/>
      <c r="O44" s="192">
        <f t="shared" si="16"/>
        <v>0</v>
      </c>
    </row>
    <row r="45" spans="1:17" outlineLevel="1">
      <c r="A45" s="47" t="s">
        <v>60</v>
      </c>
      <c r="B45" s="191">
        <f>(B18/1.055*0.055)+(B21/1.055*0.055*0.75)</f>
        <v>313.5281516587678</v>
      </c>
      <c r="C45" s="191">
        <f t="shared" ref="C45:M45" si="17">(C18/1.055*0.055)+(C21/1.055*0.055*0.75)</f>
        <v>272.63317535545025</v>
      </c>
      <c r="D45" s="191">
        <f t="shared" si="17"/>
        <v>286.26483412322278</v>
      </c>
      <c r="E45" s="191">
        <f t="shared" si="17"/>
        <v>299.89649289099526</v>
      </c>
      <c r="F45" s="191">
        <f t="shared" si="17"/>
        <v>299.89649289099526</v>
      </c>
      <c r="G45" s="191">
        <f t="shared" si="17"/>
        <v>286.26483412322278</v>
      </c>
      <c r="H45" s="191">
        <f t="shared" si="17"/>
        <v>313.5281516587678</v>
      </c>
      <c r="I45" s="191">
        <f t="shared" si="17"/>
        <v>286.26483412322278</v>
      </c>
      <c r="J45" s="191">
        <f t="shared" si="17"/>
        <v>299.89649289099526</v>
      </c>
      <c r="K45" s="191">
        <f t="shared" si="17"/>
        <v>313.5281516587678</v>
      </c>
      <c r="L45" s="191">
        <f t="shared" si="17"/>
        <v>272.63317535545025</v>
      </c>
      <c r="M45" s="191">
        <f t="shared" si="17"/>
        <v>313.5281516587678</v>
      </c>
      <c r="N45" s="48"/>
      <c r="O45" s="192">
        <f t="shared" si="16"/>
        <v>3557.8629383886259</v>
      </c>
    </row>
    <row r="46" spans="1:17" outlineLevel="1">
      <c r="A46" s="47" t="s">
        <v>71</v>
      </c>
      <c r="B46" s="191"/>
      <c r="C46" s="191">
        <f>IF(B47&lt;0,B47,"")</f>
        <v>-7396.7184546890694</v>
      </c>
      <c r="D46" s="191">
        <f t="shared" ref="D46:M46" si="18">IF(C47&lt;0,C47,"")</f>
        <v>-6486.6910239839135</v>
      </c>
      <c r="E46" s="191">
        <f t="shared" si="18"/>
        <v>-5528.9122217434997</v>
      </c>
      <c r="F46" s="191">
        <f t="shared" si="18"/>
        <v>-4606.7153813011619</v>
      </c>
      <c r="G46" s="191">
        <f t="shared" si="18"/>
        <v>-3684.5185408588241</v>
      </c>
      <c r="H46" s="191">
        <f t="shared" si="18"/>
        <v>-2726.7397386184107</v>
      </c>
      <c r="I46" s="191">
        <f t="shared" si="18"/>
        <v>-1715.1248599741484</v>
      </c>
      <c r="J46" s="191">
        <f t="shared" si="18"/>
        <v>-757.34605773373505</v>
      </c>
      <c r="K46" s="191" t="str">
        <f t="shared" si="18"/>
        <v/>
      </c>
      <c r="L46" s="191" t="str">
        <f t="shared" si="18"/>
        <v/>
      </c>
      <c r="M46" s="191" t="str">
        <f t="shared" si="18"/>
        <v/>
      </c>
      <c r="N46" s="48"/>
      <c r="O46" s="192">
        <f t="shared" si="16"/>
        <v>-32902.76627890276</v>
      </c>
    </row>
    <row r="47" spans="1:17" outlineLevel="1">
      <c r="A47" s="47" t="s">
        <v>72</v>
      </c>
      <c r="B47" s="191">
        <f>(SUM(B40:B42))-(SUM(B43:B46))</f>
        <v>-7396.7184546890694</v>
      </c>
      <c r="C47" s="191">
        <f>(SUM(C40:C42))-(SUM(C43:C45))+C46</f>
        <v>-6486.6910239839135</v>
      </c>
      <c r="D47" s="191">
        <f t="shared" ref="D47:J47" si="19">(SUM(D40:D42))-(SUM(D43:D45))+D46</f>
        <v>-5528.9122217434997</v>
      </c>
      <c r="E47" s="191">
        <f t="shared" si="19"/>
        <v>-4606.7153813011619</v>
      </c>
      <c r="F47" s="191">
        <f t="shared" si="19"/>
        <v>-3684.5185408588241</v>
      </c>
      <c r="G47" s="191">
        <f t="shared" si="19"/>
        <v>-2726.7397386184107</v>
      </c>
      <c r="H47" s="191">
        <f t="shared" si="19"/>
        <v>-1715.1248599741484</v>
      </c>
      <c r="I47" s="191">
        <f t="shared" si="19"/>
        <v>-757.34605773373505</v>
      </c>
      <c r="J47" s="191">
        <f t="shared" si="19"/>
        <v>164.85078270860299</v>
      </c>
      <c r="K47" s="191">
        <f>(SUM(K40:K42))-(SUM(K43:K45))</f>
        <v>1011.6148786442624</v>
      </c>
      <c r="L47" s="191">
        <f>(SUM(L40:L42))-(SUM(L43:L45))</f>
        <v>910.02743070515578</v>
      </c>
      <c r="M47" s="191">
        <f>(SUM(M40:M42))-(SUM(M43:M45))</f>
        <v>1053.281545310929</v>
      </c>
      <c r="N47" s="48"/>
      <c r="O47" s="194">
        <f t="shared" si="16"/>
        <v>-29762.991641533812</v>
      </c>
    </row>
    <row r="48" spans="1:17" ht="15.6">
      <c r="A48" s="7" t="s">
        <v>70</v>
      </c>
      <c r="B48" s="28"/>
      <c r="C48" s="13">
        <f>IF(B47&gt;0,B47,0)</f>
        <v>0</v>
      </c>
      <c r="D48" s="13">
        <f t="shared" ref="D48:M48" si="20">IF(C47&gt;0,C47,0)</f>
        <v>0</v>
      </c>
      <c r="E48" s="13">
        <f t="shared" si="20"/>
        <v>0</v>
      </c>
      <c r="F48" s="13">
        <f t="shared" si="20"/>
        <v>0</v>
      </c>
      <c r="G48" s="13">
        <f t="shared" si="20"/>
        <v>0</v>
      </c>
      <c r="H48" s="13">
        <f t="shared" si="20"/>
        <v>0</v>
      </c>
      <c r="I48" s="13">
        <f t="shared" si="20"/>
        <v>0</v>
      </c>
      <c r="J48" s="13">
        <f t="shared" si="20"/>
        <v>0</v>
      </c>
      <c r="K48" s="13">
        <f t="shared" si="20"/>
        <v>164.85078270860299</v>
      </c>
      <c r="L48" s="13">
        <f t="shared" si="20"/>
        <v>1011.6148786442624</v>
      </c>
      <c r="M48" s="13">
        <f t="shared" si="20"/>
        <v>910.02743070515578</v>
      </c>
      <c r="N48" s="46"/>
      <c r="O48" s="193"/>
    </row>
    <row r="50" spans="1:15">
      <c r="A50" s="6" t="s">
        <v>48</v>
      </c>
      <c r="B50" s="11">
        <f>B12-(B16+B38+B48)</f>
        <v>10461.905436100511</v>
      </c>
      <c r="C50" s="11">
        <f t="shared" ref="C50:M50" si="21">C12-(C16+C38+C48)</f>
        <v>1231.9054361005128</v>
      </c>
      <c r="D50" s="11">
        <f t="shared" si="21"/>
        <v>1541.9054361005146</v>
      </c>
      <c r="E50" s="11">
        <f t="shared" si="21"/>
        <v>1351.9054361005128</v>
      </c>
      <c r="F50" s="11">
        <f t="shared" si="21"/>
        <v>1351.9054361005128</v>
      </c>
      <c r="G50" s="11">
        <f t="shared" si="21"/>
        <v>1541.9054361005146</v>
      </c>
      <c r="H50" s="11">
        <f t="shared" si="21"/>
        <v>1911.905436100511</v>
      </c>
      <c r="I50" s="11">
        <f t="shared" si="21"/>
        <v>1541.9054361005146</v>
      </c>
      <c r="J50" s="11">
        <f t="shared" si="21"/>
        <v>1351.9054361005128</v>
      </c>
      <c r="K50" s="11">
        <f t="shared" si="21"/>
        <v>1747.0546533919078</v>
      </c>
      <c r="L50" s="11">
        <f t="shared" si="21"/>
        <v>220.2905574562501</v>
      </c>
      <c r="M50" s="11">
        <f t="shared" si="21"/>
        <v>1251.878005395356</v>
      </c>
      <c r="O50" s="190"/>
    </row>
    <row r="51" spans="1:15" ht="31.2">
      <c r="A51" s="188" t="s">
        <v>479</v>
      </c>
      <c r="B51" s="13">
        <f>B3+B50</f>
        <v>10461.905436100511</v>
      </c>
      <c r="C51" s="13">
        <f t="shared" ref="C51:M51" si="22">C3+C50</f>
        <v>11693.810872201024</v>
      </c>
      <c r="D51" s="13">
        <f t="shared" si="22"/>
        <v>13235.716308301538</v>
      </c>
      <c r="E51" s="13">
        <f t="shared" si="22"/>
        <v>14587.621744402051</v>
      </c>
      <c r="F51" s="13">
        <f t="shared" si="22"/>
        <v>15939.527180502564</v>
      </c>
      <c r="G51" s="13">
        <f t="shared" si="22"/>
        <v>17481.432616603081</v>
      </c>
      <c r="H51" s="13">
        <f t="shared" si="22"/>
        <v>19393.338052703592</v>
      </c>
      <c r="I51" s="13">
        <f t="shared" si="22"/>
        <v>20935.243488804106</v>
      </c>
      <c r="J51" s="13">
        <f t="shared" si="22"/>
        <v>22287.148924904621</v>
      </c>
      <c r="K51" s="13">
        <f t="shared" si="22"/>
        <v>24034.203578296529</v>
      </c>
      <c r="L51" s="13">
        <f t="shared" si="22"/>
        <v>24254.494135752779</v>
      </c>
      <c r="M51" s="13">
        <f t="shared" si="22"/>
        <v>25506.372141148135</v>
      </c>
    </row>
  </sheetData>
  <phoneticPr fontId="3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0B8B-86DC-492B-BACA-4708D19D2EAA}">
  <dimension ref="A1:Q51"/>
  <sheetViews>
    <sheetView zoomScale="95" workbookViewId="0">
      <selection activeCell="B38" sqref="B38"/>
    </sheetView>
  </sheetViews>
  <sheetFormatPr baseColWidth="10" defaultRowHeight="14.4" outlineLevelRow="1"/>
  <cols>
    <col min="1" max="1" width="29.77734375" bestFit="1" customWidth="1"/>
    <col min="2" max="2" width="13" bestFit="1" customWidth="1"/>
    <col min="3" max="7" width="12.88671875" bestFit="1" customWidth="1"/>
    <col min="8" max="8" width="13" bestFit="1" customWidth="1"/>
    <col min="9" max="10" width="12.88671875" bestFit="1" customWidth="1"/>
    <col min="11" max="11" width="13" bestFit="1" customWidth="1"/>
    <col min="12" max="12" width="10.88671875" bestFit="1" customWidth="1"/>
    <col min="13" max="13" width="13" bestFit="1" customWidth="1"/>
    <col min="14" max="14" width="4.21875" customWidth="1"/>
    <col min="15" max="15" width="14" bestFit="1" customWidth="1"/>
  </cols>
  <sheetData>
    <row r="1" spans="1:17" ht="21">
      <c r="A1" s="202" t="s">
        <v>11</v>
      </c>
      <c r="B1" s="33">
        <f>Paramètres!D3</f>
        <v>2026</v>
      </c>
    </row>
    <row r="2" spans="1:17">
      <c r="A2" s="141" t="s">
        <v>485</v>
      </c>
    </row>
    <row r="3" spans="1:17">
      <c r="A3" s="31" t="s">
        <v>49</v>
      </c>
      <c r="B3" s="32">
        <f>'Trésorerie année 1'!M51</f>
        <v>25506.372141148135</v>
      </c>
      <c r="C3" s="32">
        <f>B51</f>
        <v>26115.808007745916</v>
      </c>
      <c r="D3" s="32">
        <f t="shared" ref="D3:M3" si="0">C51</f>
        <v>27018.152242227159</v>
      </c>
      <c r="E3" s="32">
        <f t="shared" si="0"/>
        <v>28219.243707158639</v>
      </c>
      <c r="F3" s="32">
        <f t="shared" si="0"/>
        <v>29644.079608306547</v>
      </c>
      <c r="G3" s="32">
        <f t="shared" si="0"/>
        <v>30911.836342787792</v>
      </c>
      <c r="H3" s="32">
        <f t="shared" si="0"/>
        <v>32558.13335916082</v>
      </c>
      <c r="I3" s="32">
        <f t="shared" si="0"/>
        <v>34265.048426975394</v>
      </c>
      <c r="J3" s="32">
        <f t="shared" si="0"/>
        <v>34978.010712898191</v>
      </c>
      <c r="K3" s="32">
        <f t="shared" si="0"/>
        <v>36707.641062604554</v>
      </c>
      <c r="L3" s="32">
        <f t="shared" si="0"/>
        <v>38049.14363041913</v>
      </c>
      <c r="M3" s="32">
        <f t="shared" si="0"/>
        <v>39316.900364900372</v>
      </c>
    </row>
    <row r="5" spans="1:17" ht="15.6">
      <c r="B5" s="4" t="s">
        <v>13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O5" s="4" t="s">
        <v>38</v>
      </c>
    </row>
    <row r="6" spans="1:17">
      <c r="A6" t="s">
        <v>12</v>
      </c>
      <c r="B6" s="2">
        <f>NETWORKDAYS(DATE(Paramètres!$D$3,COLUMN()-1,1),EOMONTH(DATE(Paramètres!$D$3,COLUMN()-1,1),0))</f>
        <v>22</v>
      </c>
      <c r="C6" s="2">
        <f>NETWORKDAYS(DATE(Paramètres!$D$3,COLUMN()-1,1),EOMONTH(DATE(Paramètres!$D$3,COLUMN()-1,1),0))</f>
        <v>20</v>
      </c>
      <c r="D6" s="2">
        <f>NETWORKDAYS(DATE(Paramètres!$D$3,COLUMN()-1,1),EOMONTH(DATE(Paramètres!$D$3,COLUMN()-1,1),0))</f>
        <v>22</v>
      </c>
      <c r="E6" s="2">
        <f>NETWORKDAYS(DATE(Paramètres!$D$3,COLUMN()-1,1),EOMONTH(DATE(Paramètres!$D$3,COLUMN()-1,1),0))</f>
        <v>22</v>
      </c>
      <c r="F6" s="2">
        <f>NETWORKDAYS(DATE(Paramètres!$D$3,COLUMN()-1,1),EOMONTH(DATE(Paramètres!$D$3,COLUMN()-1,1),0))</f>
        <v>21</v>
      </c>
      <c r="G6" s="2">
        <f>NETWORKDAYS(DATE(Paramètres!$D$3,COLUMN()-1,1),EOMONTH(DATE(Paramètres!$D$3,COLUMN()-1,1),0))</f>
        <v>22</v>
      </c>
      <c r="H6" s="2">
        <f>NETWORKDAYS(DATE(Paramètres!$D$3,COLUMN()-1,1),EOMONTH(DATE(Paramètres!$D$3,COLUMN()-1,1),0))</f>
        <v>23</v>
      </c>
      <c r="I6" s="2">
        <f>NETWORKDAYS(DATE(Paramètres!$D$3,COLUMN()-1,1),EOMONTH(DATE(Paramètres!$D$3,COLUMN()-1,1),0))</f>
        <v>21</v>
      </c>
      <c r="J6" s="2">
        <f>NETWORKDAYS(DATE(Paramètres!$D$3,COLUMN()-1,1),EOMONTH(DATE(Paramètres!$D$3,COLUMN()-1,1),0))</f>
        <v>22</v>
      </c>
      <c r="K6" s="2">
        <f>NETWORKDAYS(DATE(Paramètres!$D$3,COLUMN()-1,1),EOMONTH(DATE(Paramètres!$D$3,COLUMN()-1,1),0))</f>
        <v>22</v>
      </c>
      <c r="L6" s="2">
        <f>NETWORKDAYS(DATE(Paramètres!$D$3,COLUMN()-1,1),EOMONTH(DATE(Paramètres!$D$3,COLUMN()-1,1),0))</f>
        <v>21</v>
      </c>
      <c r="M6" s="2">
        <f>NETWORKDAYS(DATE(Paramètres!$D$3,COLUMN()-1,1),EOMONTH(DATE(Paramètres!$D$3,COLUMN()-1,1),0))</f>
        <v>23</v>
      </c>
      <c r="O6" s="2">
        <f>SUM(B6:M6)</f>
        <v>261</v>
      </c>
    </row>
    <row r="7" spans="1:17">
      <c r="A7" s="34" t="s">
        <v>482</v>
      </c>
      <c r="B7" s="35">
        <f>(Paramètres!$D$8*Paramètres!$D$4*'Trésorerie année 2'!B6)</f>
        <v>19057.500000000004</v>
      </c>
      <c r="C7" s="35">
        <f>(Paramètres!$D$8*Paramètres!$D$4*'Trésorerie année 2'!C6)</f>
        <v>17325.000000000004</v>
      </c>
      <c r="D7" s="35">
        <f>(Paramètres!$D$8*Paramètres!$D$4*'Trésorerie année 2'!D6)</f>
        <v>19057.500000000004</v>
      </c>
      <c r="E7" s="35">
        <f>(Paramètres!$D$8*Paramètres!$D$4*'Trésorerie année 2'!E6)</f>
        <v>19057.500000000004</v>
      </c>
      <c r="F7" s="35">
        <f>(Paramètres!$D$8*Paramètres!$D$4*'Trésorerie année 2'!F6)</f>
        <v>18191.250000000004</v>
      </c>
      <c r="G7" s="35">
        <f>(Paramètres!$D$8*Paramètres!$D$4*'Trésorerie année 2'!G6)</f>
        <v>19057.500000000004</v>
      </c>
      <c r="H7" s="35">
        <f>(Paramètres!$D$8*Paramètres!$D$4*'Trésorerie année 2'!H6)</f>
        <v>19923.750000000004</v>
      </c>
      <c r="I7" s="35">
        <f>(Paramètres!$D$8*Paramètres!$D$4*'Trésorerie année 2'!I6)</f>
        <v>18191.250000000004</v>
      </c>
      <c r="J7" s="35">
        <f>(Paramètres!$D$8*Paramètres!$D$4*'Trésorerie année 2'!J6)</f>
        <v>19057.500000000004</v>
      </c>
      <c r="K7" s="35">
        <f>(Paramètres!$D$8*Paramètres!$D$4*'Trésorerie année 2'!K6)</f>
        <v>19057.500000000004</v>
      </c>
      <c r="L7" s="35">
        <f>(Paramètres!$D$8*Paramètres!$D$4*'Trésorerie année 2'!L6)</f>
        <v>18191.250000000004</v>
      </c>
      <c r="M7" s="35">
        <f>(Paramètres!$D$8*Paramètres!$D$4*'Trésorerie année 2'!M6)</f>
        <v>19923.750000000004</v>
      </c>
      <c r="O7" s="11">
        <f t="shared" ref="O7:O12" si="1">SUM(B7:M7)</f>
        <v>226091.25000000003</v>
      </c>
      <c r="P7" s="189"/>
    </row>
    <row r="8" spans="1:17">
      <c r="A8" s="34" t="s">
        <v>483</v>
      </c>
      <c r="B8" s="195">
        <f>Paramètres!$D$8*'Trésorerie année 2'!B6*Paramètres!$D$6*3</f>
        <v>907.50000000000023</v>
      </c>
      <c r="C8" s="195">
        <f>Paramètres!$D$8*'Trésorerie année 2'!C6*Paramètres!$D$6*3</f>
        <v>825.00000000000023</v>
      </c>
      <c r="D8" s="195">
        <f>Paramètres!$D$8*'Trésorerie année 2'!D6*Paramètres!$D$6*3</f>
        <v>907.50000000000023</v>
      </c>
      <c r="E8" s="195">
        <f>Paramètres!$D$8*'Trésorerie année 2'!E6*Paramètres!$D$6*3</f>
        <v>907.50000000000023</v>
      </c>
      <c r="F8" s="195">
        <f>Paramètres!$D$8*'Trésorerie année 2'!F6*Paramètres!$D$6*3</f>
        <v>866.25000000000023</v>
      </c>
      <c r="G8" s="195">
        <f>Paramètres!$D$8*'Trésorerie année 2'!G6*Paramètres!$D$6*3</f>
        <v>907.50000000000023</v>
      </c>
      <c r="H8" s="195">
        <f>Paramètres!$D$8*'Trésorerie année 2'!H6*Paramètres!$D$6*3</f>
        <v>948.75000000000023</v>
      </c>
      <c r="I8" s="195">
        <f>Paramètres!$D$8*'Trésorerie année 2'!I6*Paramètres!$D$6*3</f>
        <v>866.25000000000023</v>
      </c>
      <c r="J8" s="195">
        <f>Paramètres!$D$8*'Trésorerie année 2'!J6*Paramètres!$D$6*3</f>
        <v>907.50000000000023</v>
      </c>
      <c r="K8" s="195">
        <f>Paramètres!$D$8*'Trésorerie année 2'!K6*Paramètres!$D$6*3</f>
        <v>907.50000000000023</v>
      </c>
      <c r="L8" s="195">
        <f>Paramètres!$D$8*'Trésorerie année 2'!L6*Paramètres!$D$6*3</f>
        <v>866.25000000000023</v>
      </c>
      <c r="M8" s="195">
        <f>Paramètres!$D$8*'Trésorerie année 2'!M6*Paramètres!$D$6*3</f>
        <v>948.75000000000023</v>
      </c>
      <c r="O8" s="11">
        <f t="shared" si="1"/>
        <v>10766.250000000002</v>
      </c>
      <c r="P8" s="189"/>
      <c r="Q8" s="189"/>
    </row>
    <row r="9" spans="1:17">
      <c r="A9" s="36" t="s">
        <v>331</v>
      </c>
      <c r="B9" s="37">
        <v>0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O9" s="11">
        <f t="shared" ref="O9:O11" si="2">SUM(B9:M9)</f>
        <v>0</v>
      </c>
      <c r="P9" s="189"/>
      <c r="Q9" s="189"/>
    </row>
    <row r="10" spans="1:17">
      <c r="A10" s="36" t="s">
        <v>51</v>
      </c>
      <c r="B10" s="37">
        <v>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O10" s="11">
        <f t="shared" si="2"/>
        <v>0</v>
      </c>
      <c r="P10" s="189"/>
    </row>
    <row r="11" spans="1:17" ht="15" thickBot="1">
      <c r="A11" s="36" t="s">
        <v>50</v>
      </c>
      <c r="B11" s="38">
        <f>'Plan de financement initial'!H16+'Plan de financement initial'!H19+'Plan de financement initial'!H24</f>
        <v>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O11" s="42">
        <f t="shared" si="2"/>
        <v>0</v>
      </c>
    </row>
    <row r="12" spans="1:17" ht="16.2" thickBot="1">
      <c r="A12" s="39" t="s">
        <v>15</v>
      </c>
      <c r="B12" s="40">
        <f t="shared" ref="B12:M12" si="3">SUM(B7:B11)</f>
        <v>19965.000000000004</v>
      </c>
      <c r="C12" s="40">
        <f t="shared" si="3"/>
        <v>18150.000000000004</v>
      </c>
      <c r="D12" s="40">
        <f t="shared" si="3"/>
        <v>19965.000000000004</v>
      </c>
      <c r="E12" s="40">
        <f t="shared" si="3"/>
        <v>19965.000000000004</v>
      </c>
      <c r="F12" s="40">
        <f t="shared" si="3"/>
        <v>19057.500000000004</v>
      </c>
      <c r="G12" s="40">
        <f t="shared" si="3"/>
        <v>19965.000000000004</v>
      </c>
      <c r="H12" s="40">
        <f t="shared" si="3"/>
        <v>20872.500000000004</v>
      </c>
      <c r="I12" s="40">
        <f t="shared" si="3"/>
        <v>19057.500000000004</v>
      </c>
      <c r="J12" s="40">
        <f t="shared" si="3"/>
        <v>19965.000000000004</v>
      </c>
      <c r="K12" s="40">
        <f t="shared" si="3"/>
        <v>19965.000000000004</v>
      </c>
      <c r="L12" s="40">
        <f t="shared" si="3"/>
        <v>19057.500000000004</v>
      </c>
      <c r="M12" s="41">
        <f t="shared" si="3"/>
        <v>20872.500000000004</v>
      </c>
      <c r="O12" s="43">
        <f t="shared" si="1"/>
        <v>236857.50000000003</v>
      </c>
      <c r="P12" t="str">
        <f>IF(O12=SUM(O7:O11),"ok","non")</f>
        <v>ok</v>
      </c>
    </row>
    <row r="14" spans="1:17">
      <c r="A14" t="s">
        <v>16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O14" s="11">
        <f>SUM(B14:M14)</f>
        <v>0</v>
      </c>
    </row>
    <row r="15" spans="1:17">
      <c r="A15" t="s">
        <v>17</v>
      </c>
      <c r="B15" s="11">
        <v>0</v>
      </c>
      <c r="C15" s="11">
        <f>IF(C5=Paramètres!$C$14,Paramètres!$C$13,0)</f>
        <v>0</v>
      </c>
      <c r="D15" s="11">
        <f>IF(D5=Paramètres!$C$14,Paramètres!$C$13,0)</f>
        <v>0</v>
      </c>
      <c r="E15" s="11">
        <f>IF(E5=Paramètres!$C$14,Paramètres!$C$13,0)</f>
        <v>0</v>
      </c>
      <c r="F15" s="11">
        <v>0</v>
      </c>
      <c r="G15" s="11">
        <f>IF(G5=Paramètres!$C$14,Paramètres!$C$13,0)</f>
        <v>0</v>
      </c>
      <c r="H15" s="11">
        <f>IF(H5=Paramètres!$C$14,Paramètres!$C$13,0)</f>
        <v>0</v>
      </c>
      <c r="I15" s="11">
        <f>IF(I5=Paramètres!$C$14,Paramètres!$C$13,0)</f>
        <v>0</v>
      </c>
      <c r="J15" s="11">
        <f>IF(J5=Paramètres!$C$14,Paramètres!$C$13,0)</f>
        <v>0</v>
      </c>
      <c r="K15" s="11">
        <f>IF(K5=Paramètres!$C$14,Paramètres!$C$13,0)</f>
        <v>0</v>
      </c>
      <c r="L15" s="11">
        <f>IF(L5=Paramètres!$C$14,Paramètres!$C$13,0)</f>
        <v>0</v>
      </c>
      <c r="M15" s="11">
        <f>IF(M5=Paramètres!$C$14,Paramètres!$C$13,0)</f>
        <v>0</v>
      </c>
      <c r="O15" s="11">
        <f t="shared" ref="O15:O16" si="4">SUM(B15:M15)</f>
        <v>0</v>
      </c>
    </row>
    <row r="16" spans="1:17" ht="15.6">
      <c r="A16" s="7" t="s">
        <v>18</v>
      </c>
      <c r="B16" s="13">
        <f>SUM(B14:B15)</f>
        <v>0</v>
      </c>
      <c r="C16" s="13">
        <f t="shared" ref="C16:M16" si="5">SUM(C14:C15)</f>
        <v>0</v>
      </c>
      <c r="D16" s="13">
        <f t="shared" si="5"/>
        <v>0</v>
      </c>
      <c r="E16" s="13">
        <f t="shared" si="5"/>
        <v>0</v>
      </c>
      <c r="F16" s="13">
        <f t="shared" si="5"/>
        <v>0</v>
      </c>
      <c r="G16" s="13">
        <f t="shared" si="5"/>
        <v>0</v>
      </c>
      <c r="H16" s="13">
        <f t="shared" si="5"/>
        <v>0</v>
      </c>
      <c r="I16" s="13">
        <f t="shared" si="5"/>
        <v>0</v>
      </c>
      <c r="J16" s="13">
        <f t="shared" si="5"/>
        <v>0</v>
      </c>
      <c r="K16" s="13">
        <f t="shared" si="5"/>
        <v>0</v>
      </c>
      <c r="L16" s="13">
        <f t="shared" si="5"/>
        <v>0</v>
      </c>
      <c r="M16" s="13">
        <f t="shared" si="5"/>
        <v>0</v>
      </c>
      <c r="O16" s="13">
        <f t="shared" si="4"/>
        <v>0</v>
      </c>
      <c r="P16" t="str">
        <f>IF(O16=SUM(O14:O15),"ok","non")</f>
        <v>ok</v>
      </c>
    </row>
    <row r="18" spans="1:17">
      <c r="A18" s="203" t="s">
        <v>19</v>
      </c>
      <c r="B18" s="26">
        <f>B7*Paramètres!$D$5</f>
        <v>6670.1250000000009</v>
      </c>
      <c r="C18" s="26">
        <f>C7*Paramètres!$D$5</f>
        <v>6063.7500000000009</v>
      </c>
      <c r="D18" s="26">
        <f>D7*Paramètres!$D$5</f>
        <v>6670.1250000000009</v>
      </c>
      <c r="E18" s="26">
        <f>E7*Paramètres!$D$5</f>
        <v>6670.1250000000009</v>
      </c>
      <c r="F18" s="26">
        <f>F7*Paramètres!$D$5</f>
        <v>6366.9375000000009</v>
      </c>
      <c r="G18" s="26">
        <f>G7*Paramètres!$D$5</f>
        <v>6670.1250000000009</v>
      </c>
      <c r="H18" s="26">
        <f>H7*Paramètres!$D$5</f>
        <v>6973.3125000000009</v>
      </c>
      <c r="I18" s="26">
        <f>I7*Paramètres!$D$5</f>
        <v>6366.9375000000009</v>
      </c>
      <c r="J18" s="26">
        <f>J7*Paramètres!$D$5</f>
        <v>6670.1250000000009</v>
      </c>
      <c r="K18" s="26">
        <f>K7*Paramètres!$D$5</f>
        <v>6670.1250000000009</v>
      </c>
      <c r="L18" s="26">
        <f>L7*Paramètres!$D$5</f>
        <v>6366.9375000000009</v>
      </c>
      <c r="M18" s="26">
        <f>M7*Paramètres!$D$5</f>
        <v>6973.3125000000009</v>
      </c>
      <c r="O18" s="29">
        <f>SUM(B18:M18)</f>
        <v>79131.937500000015</v>
      </c>
    </row>
    <row r="19" spans="1:17">
      <c r="A19" s="203" t="s">
        <v>20</v>
      </c>
      <c r="B19" s="26">
        <f>Paramètres!$D$7*Paramètres!$D$8*'Trésorerie année 2'!B6</f>
        <v>326.70000000000005</v>
      </c>
      <c r="C19" s="26">
        <f>Paramètres!$D$7*Paramètres!$D$8*'Trésorerie année 2'!C6</f>
        <v>297.00000000000006</v>
      </c>
      <c r="D19" s="26">
        <f>Paramètres!$D$7*Paramètres!$D$8*'Trésorerie année 2'!D6</f>
        <v>326.70000000000005</v>
      </c>
      <c r="E19" s="26">
        <f>Paramètres!$D$7*Paramètres!$D$8*'Trésorerie année 2'!E6</f>
        <v>326.70000000000005</v>
      </c>
      <c r="F19" s="26">
        <f>Paramètres!$D$7*Paramètres!$D$8*'Trésorerie année 2'!F6</f>
        <v>311.85000000000008</v>
      </c>
      <c r="G19" s="26">
        <f>Paramètres!$D$7*Paramètres!$D$8*'Trésorerie année 2'!G6</f>
        <v>326.70000000000005</v>
      </c>
      <c r="H19" s="26">
        <f>Paramètres!$D$7*Paramètres!$D$8*'Trésorerie année 2'!H6</f>
        <v>341.55000000000007</v>
      </c>
      <c r="I19" s="26">
        <f>Paramètres!$D$7*Paramètres!$D$8*'Trésorerie année 2'!I6</f>
        <v>311.85000000000008</v>
      </c>
      <c r="J19" s="26">
        <f>Paramètres!$D$7*Paramètres!$D$8*'Trésorerie année 2'!J6</f>
        <v>326.70000000000005</v>
      </c>
      <c r="K19" s="26">
        <f>Paramètres!$D$7*Paramètres!$D$8*'Trésorerie année 2'!K6</f>
        <v>326.70000000000005</v>
      </c>
      <c r="L19" s="26">
        <f>Paramètres!$D$7*Paramètres!$D$8*'Trésorerie année 2'!L6</f>
        <v>311.85000000000008</v>
      </c>
      <c r="M19" s="26">
        <f>Paramètres!$D$7*Paramètres!$D$8*'Trésorerie année 2'!M6</f>
        <v>341.55000000000007</v>
      </c>
      <c r="O19" s="29">
        <f t="shared" ref="O19:O38" si="6">SUM(B19:M19)</f>
        <v>3875.85</v>
      </c>
    </row>
    <row r="20" spans="1:17">
      <c r="A20" s="203" t="s">
        <v>21</v>
      </c>
      <c r="B20" s="26">
        <f>Paramètres!$D$9*Paramètres!$D$12*'Trésorerie année 2'!B6</f>
        <v>84.700000000000017</v>
      </c>
      <c r="C20" s="26">
        <f>Paramètres!$D$9*Paramètres!$D$12*'Trésorerie année 2'!C6</f>
        <v>77.000000000000014</v>
      </c>
      <c r="D20" s="26">
        <f>Paramètres!$D$9*Paramètres!$D$12*'Trésorerie année 2'!D6</f>
        <v>84.700000000000017</v>
      </c>
      <c r="E20" s="26">
        <f>Paramètres!$D$9*Paramètres!$D$12*'Trésorerie année 2'!E6</f>
        <v>84.700000000000017</v>
      </c>
      <c r="F20" s="26">
        <f>Paramètres!$D$9*Paramètres!$D$12*'Trésorerie année 2'!F6</f>
        <v>80.850000000000009</v>
      </c>
      <c r="G20" s="26">
        <f>Paramètres!$D$9*Paramètres!$D$12*'Trésorerie année 2'!G6</f>
        <v>84.700000000000017</v>
      </c>
      <c r="H20" s="26">
        <f>Paramètres!$D$9*Paramètres!$D$12*'Trésorerie année 2'!H6</f>
        <v>88.550000000000011</v>
      </c>
      <c r="I20" s="26">
        <f>Paramètres!$D$9*Paramètres!$D$12*'Trésorerie année 2'!I6</f>
        <v>80.850000000000009</v>
      </c>
      <c r="J20" s="26">
        <f>Paramètres!$D$9*Paramètres!$D$12*'Trésorerie année 2'!J6</f>
        <v>84.700000000000017</v>
      </c>
      <c r="K20" s="26">
        <f>Paramètres!$D$9*Paramètres!$D$12*'Trésorerie année 2'!K6</f>
        <v>84.700000000000017</v>
      </c>
      <c r="L20" s="26">
        <f>Paramètres!$D$9*Paramètres!$D$12*'Trésorerie année 2'!L6</f>
        <v>80.850000000000009</v>
      </c>
      <c r="M20" s="26">
        <f>Paramètres!$D$9*Paramètres!$D$12*'Trésorerie année 2'!M6</f>
        <v>88.550000000000011</v>
      </c>
      <c r="O20" s="29">
        <f t="shared" si="6"/>
        <v>1004.8500000000001</v>
      </c>
    </row>
    <row r="21" spans="1:17">
      <c r="A21" s="203" t="s">
        <v>329</v>
      </c>
      <c r="B21" s="26">
        <f>B8*Paramètres!$D$6</f>
        <v>226.87500000000006</v>
      </c>
      <c r="C21" s="26">
        <f>C8*Paramètres!$D$6</f>
        <v>206.25000000000006</v>
      </c>
      <c r="D21" s="26">
        <f>D8*Paramètres!$D$6</f>
        <v>226.87500000000006</v>
      </c>
      <c r="E21" s="26">
        <f>E8*Paramètres!$D$6</f>
        <v>226.87500000000006</v>
      </c>
      <c r="F21" s="26">
        <f>F8*Paramètres!$D$6</f>
        <v>216.56250000000006</v>
      </c>
      <c r="G21" s="26">
        <f>G8*Paramètres!$D$6</f>
        <v>226.87500000000006</v>
      </c>
      <c r="H21" s="26">
        <f>H8*Paramètres!$D$6</f>
        <v>237.18750000000006</v>
      </c>
      <c r="I21" s="26">
        <f>I8*Paramètres!$D$6</f>
        <v>216.56250000000006</v>
      </c>
      <c r="J21" s="26">
        <f>J8*Paramètres!$D$6</f>
        <v>226.87500000000006</v>
      </c>
      <c r="K21" s="26">
        <f>K8*Paramètres!$D$6</f>
        <v>226.87500000000006</v>
      </c>
      <c r="L21" s="26">
        <f>L8*Paramètres!$D$6</f>
        <v>216.56250000000006</v>
      </c>
      <c r="M21" s="26">
        <f>M8*Paramètres!$D$6</f>
        <v>237.18750000000006</v>
      </c>
      <c r="O21" s="29">
        <f t="shared" si="6"/>
        <v>2691.5625000000005</v>
      </c>
    </row>
    <row r="22" spans="1:17">
      <c r="A22" s="203" t="s">
        <v>23</v>
      </c>
      <c r="B22" s="26">
        <f>B7*0.05</f>
        <v>952.87500000000023</v>
      </c>
      <c r="C22" s="26">
        <f t="shared" ref="C22:M22" si="7">C7*0.05</f>
        <v>866.25000000000023</v>
      </c>
      <c r="D22" s="26">
        <f t="shared" si="7"/>
        <v>952.87500000000023</v>
      </c>
      <c r="E22" s="26">
        <f t="shared" si="7"/>
        <v>952.87500000000023</v>
      </c>
      <c r="F22" s="26">
        <f t="shared" si="7"/>
        <v>909.56250000000023</v>
      </c>
      <c r="G22" s="26">
        <f t="shared" si="7"/>
        <v>952.87500000000023</v>
      </c>
      <c r="H22" s="26">
        <f t="shared" si="7"/>
        <v>996.18750000000023</v>
      </c>
      <c r="I22" s="26">
        <f t="shared" si="7"/>
        <v>909.56250000000023</v>
      </c>
      <c r="J22" s="26">
        <f t="shared" si="7"/>
        <v>952.87500000000023</v>
      </c>
      <c r="K22" s="26">
        <f t="shared" si="7"/>
        <v>952.87500000000023</v>
      </c>
      <c r="L22" s="26">
        <f t="shared" si="7"/>
        <v>909.56250000000023</v>
      </c>
      <c r="M22" s="26">
        <f t="shared" si="7"/>
        <v>996.18750000000023</v>
      </c>
      <c r="O22" s="29">
        <f t="shared" si="6"/>
        <v>11304.562500000002</v>
      </c>
    </row>
    <row r="23" spans="1:17">
      <c r="A23" t="s">
        <v>68</v>
      </c>
      <c r="B23" s="26">
        <f>Paramètres!$D$10*'Trésorerie année 2'!B6</f>
        <v>3465</v>
      </c>
      <c r="C23" s="26">
        <f>Paramètres!$D$10*'Trésorerie année 2'!C6</f>
        <v>3150</v>
      </c>
      <c r="D23" s="26">
        <f>Paramètres!$D$10*'Trésorerie année 2'!D6</f>
        <v>3465</v>
      </c>
      <c r="E23" s="26">
        <f>Paramètres!$D$10*'Trésorerie année 2'!E6</f>
        <v>3465</v>
      </c>
      <c r="F23" s="26">
        <f>Paramètres!$D$10*'Trésorerie année 2'!F6</f>
        <v>3307.5</v>
      </c>
      <c r="G23" s="26">
        <f>Paramètres!$D$10*'Trésorerie année 2'!G6</f>
        <v>3465</v>
      </c>
      <c r="H23" s="26">
        <f>Paramètres!$D$10*'Trésorerie année 2'!H6</f>
        <v>3622.5</v>
      </c>
      <c r="I23" s="26">
        <f>Paramètres!$D$10*'Trésorerie année 2'!I6</f>
        <v>3307.5</v>
      </c>
      <c r="J23" s="26">
        <f>Paramètres!$D$10*'Trésorerie année 2'!J6</f>
        <v>3465</v>
      </c>
      <c r="K23" s="26">
        <f>Paramètres!$D$10*'Trésorerie année 2'!K6</f>
        <v>3465</v>
      </c>
      <c r="L23" s="26">
        <f>Paramètres!$D$10*'Trésorerie année 2'!L6</f>
        <v>3307.5</v>
      </c>
      <c r="M23" s="26">
        <f>Paramètres!$D$10*'Trésorerie année 2'!M6</f>
        <v>3622.5</v>
      </c>
      <c r="O23" s="29">
        <f t="shared" ref="O23:O37" si="8">SUM(B23:M23)</f>
        <v>41107.5</v>
      </c>
    </row>
    <row r="24" spans="1:17">
      <c r="A24" t="s">
        <v>56</v>
      </c>
      <c r="B24" s="26">
        <v>500</v>
      </c>
      <c r="C24" s="26">
        <v>500</v>
      </c>
      <c r="D24" s="26">
        <v>500</v>
      </c>
      <c r="E24" s="26">
        <v>500</v>
      </c>
      <c r="F24" s="26">
        <v>500</v>
      </c>
      <c r="G24" s="26">
        <v>500</v>
      </c>
      <c r="H24" s="26">
        <v>500</v>
      </c>
      <c r="I24" s="26">
        <v>500</v>
      </c>
      <c r="J24" s="26">
        <v>500</v>
      </c>
      <c r="K24" s="26">
        <v>500</v>
      </c>
      <c r="L24" s="26">
        <v>500</v>
      </c>
      <c r="M24" s="26">
        <v>500</v>
      </c>
      <c r="O24" s="29">
        <f t="shared" si="8"/>
        <v>6000</v>
      </c>
    </row>
    <row r="25" spans="1:17">
      <c r="A25" t="s">
        <v>53</v>
      </c>
      <c r="B25" s="26">
        <f>20</f>
        <v>20</v>
      </c>
      <c r="C25" s="26">
        <v>20</v>
      </c>
      <c r="D25" s="26">
        <v>20</v>
      </c>
      <c r="E25" s="26">
        <v>20</v>
      </c>
      <c r="F25" s="26">
        <v>20</v>
      </c>
      <c r="G25" s="26">
        <v>20</v>
      </c>
      <c r="H25" s="26">
        <v>20</v>
      </c>
      <c r="I25" s="26">
        <v>20</v>
      </c>
      <c r="J25" s="26">
        <v>20</v>
      </c>
      <c r="K25" s="26">
        <v>20</v>
      </c>
      <c r="L25" s="26">
        <v>20</v>
      </c>
      <c r="M25" s="26">
        <v>20</v>
      </c>
      <c r="O25" s="29">
        <f t="shared" si="8"/>
        <v>240</v>
      </c>
    </row>
    <row r="26" spans="1:17">
      <c r="A26" s="203" t="s">
        <v>52</v>
      </c>
      <c r="B26" s="26">
        <f>(B7+B8)*0.01</f>
        <v>199.65000000000003</v>
      </c>
      <c r="C26" s="26">
        <f t="shared" ref="C26:M26" si="9">(C7+C8)*0.01</f>
        <v>181.50000000000003</v>
      </c>
      <c r="D26" s="26">
        <f t="shared" si="9"/>
        <v>199.65000000000003</v>
      </c>
      <c r="E26" s="26">
        <f t="shared" si="9"/>
        <v>199.65000000000003</v>
      </c>
      <c r="F26" s="26">
        <f t="shared" si="9"/>
        <v>190.57500000000005</v>
      </c>
      <c r="G26" s="26">
        <f t="shared" si="9"/>
        <v>199.65000000000003</v>
      </c>
      <c r="H26" s="26">
        <f t="shared" si="9"/>
        <v>208.72500000000005</v>
      </c>
      <c r="I26" s="26">
        <f t="shared" si="9"/>
        <v>190.57500000000005</v>
      </c>
      <c r="J26" s="26">
        <f t="shared" si="9"/>
        <v>199.65000000000003</v>
      </c>
      <c r="K26" s="26">
        <f t="shared" si="9"/>
        <v>199.65000000000003</v>
      </c>
      <c r="L26" s="26">
        <f t="shared" si="9"/>
        <v>190.57500000000005</v>
      </c>
      <c r="M26" s="26">
        <f t="shared" si="9"/>
        <v>208.72500000000005</v>
      </c>
      <c r="O26" s="29">
        <f t="shared" si="8"/>
        <v>2368.5750000000007</v>
      </c>
    </row>
    <row r="27" spans="1:17">
      <c r="A27" t="s">
        <v>61</v>
      </c>
      <c r="B27" s="26">
        <v>250</v>
      </c>
      <c r="C27" s="26"/>
      <c r="D27" s="26"/>
      <c r="E27" s="26">
        <v>250</v>
      </c>
      <c r="F27" s="26"/>
      <c r="G27" s="26"/>
      <c r="H27" s="26">
        <v>250</v>
      </c>
      <c r="I27" s="26"/>
      <c r="J27" s="26"/>
      <c r="K27" s="26">
        <v>250</v>
      </c>
      <c r="L27" s="26"/>
      <c r="M27" s="26"/>
      <c r="O27" s="29">
        <f t="shared" si="8"/>
        <v>1000</v>
      </c>
    </row>
    <row r="28" spans="1:17">
      <c r="A28" t="s">
        <v>25</v>
      </c>
      <c r="B28" s="26">
        <v>150</v>
      </c>
      <c r="C28" s="26">
        <v>150</v>
      </c>
      <c r="D28" s="26">
        <v>150</v>
      </c>
      <c r="E28" s="26">
        <v>150</v>
      </c>
      <c r="F28" s="26">
        <v>150</v>
      </c>
      <c r="G28" s="26">
        <v>150</v>
      </c>
      <c r="H28" s="26">
        <v>150</v>
      </c>
      <c r="I28" s="26">
        <v>150</v>
      </c>
      <c r="J28" s="26">
        <v>150</v>
      </c>
      <c r="K28" s="26">
        <v>150</v>
      </c>
      <c r="L28" s="26">
        <v>150</v>
      </c>
      <c r="M28" s="26">
        <v>150</v>
      </c>
      <c r="O28" s="29">
        <f t="shared" si="8"/>
        <v>1800</v>
      </c>
    </row>
    <row r="29" spans="1:17">
      <c r="A29" t="s">
        <v>338</v>
      </c>
      <c r="B29" s="26">
        <v>225</v>
      </c>
      <c r="C29" s="26">
        <v>225</v>
      </c>
      <c r="D29" s="26">
        <v>225</v>
      </c>
      <c r="E29" s="26">
        <v>225</v>
      </c>
      <c r="F29" s="26">
        <v>225</v>
      </c>
      <c r="G29" s="26">
        <v>225</v>
      </c>
      <c r="H29" s="26">
        <v>225</v>
      </c>
      <c r="I29" s="26">
        <v>225</v>
      </c>
      <c r="J29" s="26">
        <v>225</v>
      </c>
      <c r="K29" s="26">
        <v>225</v>
      </c>
      <c r="L29" s="26">
        <v>225</v>
      </c>
      <c r="M29" s="26">
        <v>225</v>
      </c>
      <c r="O29" s="29">
        <f t="shared" si="8"/>
        <v>2700</v>
      </c>
    </row>
    <row r="30" spans="1:17">
      <c r="A30" t="s">
        <v>54</v>
      </c>
      <c r="B30" s="26"/>
      <c r="C30" s="26"/>
      <c r="D30" s="26">
        <v>500</v>
      </c>
      <c r="E30" s="26"/>
      <c r="F30" s="26"/>
      <c r="G30" s="26"/>
      <c r="H30" s="26"/>
      <c r="I30" s="26">
        <v>500</v>
      </c>
      <c r="J30" s="26"/>
      <c r="K30" s="26"/>
      <c r="L30" s="26"/>
      <c r="M30" s="26"/>
      <c r="O30" s="29">
        <f t="shared" si="8"/>
        <v>1000</v>
      </c>
      <c r="Q30" s="189"/>
    </row>
    <row r="31" spans="1:17">
      <c r="A31" t="s">
        <v>55</v>
      </c>
      <c r="B31" s="26">
        <f>100</f>
        <v>100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O31" s="29">
        <f t="shared" si="8"/>
        <v>1200</v>
      </c>
    </row>
    <row r="32" spans="1:17">
      <c r="A32" t="s">
        <v>24</v>
      </c>
      <c r="B32" s="26">
        <v>100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O32" s="29">
        <f t="shared" si="8"/>
        <v>1200</v>
      </c>
    </row>
    <row r="33" spans="1:17">
      <c r="A33" t="s">
        <v>65</v>
      </c>
      <c r="B33" s="26">
        <f>'Trésorerie année 1'!B33*1.1</f>
        <v>2420</v>
      </c>
      <c r="C33" s="26">
        <f>'Trésorerie année 1'!C33*1.1</f>
        <v>2420</v>
      </c>
      <c r="D33" s="26">
        <f>'Trésorerie année 1'!D33*1.1</f>
        <v>2420</v>
      </c>
      <c r="E33" s="26">
        <f>'Trésorerie année 1'!E33*1.1</f>
        <v>2420</v>
      </c>
      <c r="F33" s="26">
        <f>'Trésorerie année 1'!F33*1.1</f>
        <v>2420</v>
      </c>
      <c r="G33" s="26">
        <f>'Trésorerie année 1'!G33*1.1</f>
        <v>2420</v>
      </c>
      <c r="H33" s="26">
        <f>'Trésorerie année 1'!H33*1.1</f>
        <v>2420</v>
      </c>
      <c r="I33" s="26">
        <f>'Trésorerie année 1'!I33*1.1</f>
        <v>2420</v>
      </c>
      <c r="J33" s="26">
        <f>'Trésorerie année 1'!J33*1.1</f>
        <v>2420</v>
      </c>
      <c r="K33" s="26">
        <f>'Trésorerie année 1'!K33*1.1</f>
        <v>2420</v>
      </c>
      <c r="L33" s="26">
        <f>'Trésorerie année 1'!L33*1.1</f>
        <v>2420</v>
      </c>
      <c r="M33" s="26">
        <f>'Trésorerie année 1'!M33*1.1</f>
        <v>2420</v>
      </c>
      <c r="O33" s="29">
        <f t="shared" si="8"/>
        <v>29040</v>
      </c>
    </row>
    <row r="34" spans="1:17">
      <c r="A34" t="s">
        <v>66</v>
      </c>
      <c r="B34" s="26">
        <f>B33*0.45</f>
        <v>1089</v>
      </c>
      <c r="C34" s="26">
        <f t="shared" ref="C34:M34" si="10">C33*0.45</f>
        <v>1089</v>
      </c>
      <c r="D34" s="26">
        <f t="shared" si="10"/>
        <v>1089</v>
      </c>
      <c r="E34" s="26">
        <f t="shared" si="10"/>
        <v>1089</v>
      </c>
      <c r="F34" s="26">
        <f t="shared" si="10"/>
        <v>1089</v>
      </c>
      <c r="G34" s="26">
        <f t="shared" si="10"/>
        <v>1089</v>
      </c>
      <c r="H34" s="26">
        <f t="shared" si="10"/>
        <v>1089</v>
      </c>
      <c r="I34" s="26">
        <f t="shared" si="10"/>
        <v>1089</v>
      </c>
      <c r="J34" s="26">
        <f t="shared" si="10"/>
        <v>1089</v>
      </c>
      <c r="K34" s="26">
        <f t="shared" si="10"/>
        <v>1089</v>
      </c>
      <c r="L34" s="26">
        <f t="shared" si="10"/>
        <v>1089</v>
      </c>
      <c r="M34" s="26">
        <f t="shared" si="10"/>
        <v>1089</v>
      </c>
      <c r="N34" s="26"/>
      <c r="O34" s="29">
        <f t="shared" si="8"/>
        <v>13068</v>
      </c>
    </row>
    <row r="35" spans="1:17">
      <c r="A35" t="s">
        <v>57</v>
      </c>
      <c r="B35" s="26">
        <v>10</v>
      </c>
      <c r="C35" s="26">
        <v>10</v>
      </c>
      <c r="D35" s="26">
        <v>10</v>
      </c>
      <c r="E35" s="26">
        <v>10</v>
      </c>
      <c r="F35" s="26">
        <v>10</v>
      </c>
      <c r="G35" s="26">
        <v>10</v>
      </c>
      <c r="H35" s="26">
        <v>10</v>
      </c>
      <c r="I35" s="26">
        <v>10</v>
      </c>
      <c r="J35" s="26">
        <v>10</v>
      </c>
      <c r="K35" s="26">
        <v>10</v>
      </c>
      <c r="L35" s="26">
        <v>10</v>
      </c>
      <c r="M35" s="26">
        <v>10</v>
      </c>
      <c r="O35" s="29">
        <f t="shared" si="8"/>
        <v>120</v>
      </c>
    </row>
    <row r="36" spans="1:17">
      <c r="A36" t="s">
        <v>22</v>
      </c>
      <c r="B36" s="27">
        <f>IF(Paramètres!$C$15="",0,-PMT(Paramètres!$C$16/12,Paramètres!$C$17*12,Paramètres!$C$15))</f>
        <v>673.09456389948684</v>
      </c>
      <c r="C36" s="27">
        <f>IF(Paramètres!$C$15="",0,-PMT(Paramètres!$C$16/12,Paramètres!$C$17*12,Paramètres!$C$15))</f>
        <v>673.09456389948684</v>
      </c>
      <c r="D36" s="27">
        <f>IF(Paramètres!$C$15="",0,-PMT(Paramètres!$C$16/12,Paramètres!$C$17*12,Paramètres!$C$15))</f>
        <v>673.09456389948684</v>
      </c>
      <c r="E36" s="27">
        <f>IF(Paramètres!$C$15="",0,-PMT(Paramètres!$C$16/12,Paramètres!$C$17*12,Paramètres!$C$15))</f>
        <v>673.09456389948684</v>
      </c>
      <c r="F36" s="27">
        <f>IF(Paramètres!$C$15="",0,-PMT(Paramètres!$C$16/12,Paramètres!$C$17*12,Paramètres!$C$15))</f>
        <v>673.09456389948684</v>
      </c>
      <c r="G36" s="27">
        <f>IF(Paramètres!$C$15="",0,-PMT(Paramètres!$C$16/12,Paramètres!$C$17*12,Paramètres!$C$15))</f>
        <v>673.09456389948684</v>
      </c>
      <c r="H36" s="27">
        <f>IF(Paramètres!$C$15="",0,-PMT(Paramètres!$C$16/12,Paramètres!$C$17*12,Paramètres!$C$15))</f>
        <v>673.09456389948684</v>
      </c>
      <c r="I36" s="27">
        <f>IF(Paramètres!$C$15="",0,-PMT(Paramètres!$C$16/12,Paramètres!$C$17*12,Paramètres!$C$15))</f>
        <v>673.09456389948684</v>
      </c>
      <c r="J36" s="27">
        <f>IF(Paramètres!$C$15="",0,-PMT(Paramètres!$C$16/12,Paramètres!$C$17*12,Paramètres!$C$15))</f>
        <v>673.09456389948684</v>
      </c>
      <c r="K36" s="27">
        <f>IF(Paramètres!$C$15="",0,-PMT(Paramètres!$C$16/12,Paramètres!$C$17*12,Paramètres!$C$15))</f>
        <v>673.09456389948684</v>
      </c>
      <c r="L36" s="27">
        <f>IF(Paramètres!$C$15="",0,-PMT(Paramètres!$C$16/12,Paramètres!$C$17*12,Paramètres!$C$15))</f>
        <v>673.09456389948684</v>
      </c>
      <c r="M36" s="27">
        <f>IF(Paramètres!$C$15="",0,-PMT(Paramètres!$C$16/12,Paramètres!$C$17*12,Paramètres!$C$15))</f>
        <v>673.09456389948684</v>
      </c>
      <c r="O36" s="29">
        <f t="shared" si="8"/>
        <v>8077.1347667938435</v>
      </c>
      <c r="P36" s="172"/>
      <c r="Q36" s="172"/>
    </row>
    <row r="37" spans="1:17">
      <c r="A37" t="s">
        <v>67</v>
      </c>
      <c r="B37" s="27">
        <f>'CR pluriannuel '!D11</f>
        <v>839.2630241918057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29">
        <f t="shared" si="8"/>
        <v>839.2630241918057</v>
      </c>
    </row>
    <row r="38" spans="1:17" ht="15.6">
      <c r="A38" s="7" t="s">
        <v>26</v>
      </c>
      <c r="B38" s="28">
        <f>SUM(B18:B37)</f>
        <v>18302.282588091293</v>
      </c>
      <c r="C38" s="28">
        <f t="shared" ref="C38:M38" si="11">SUM(C18:C37)</f>
        <v>16128.844563899487</v>
      </c>
      <c r="D38" s="28">
        <f t="shared" si="11"/>
        <v>17713.019563899488</v>
      </c>
      <c r="E38" s="28">
        <f t="shared" si="11"/>
        <v>17463.019563899488</v>
      </c>
      <c r="F38" s="28">
        <f t="shared" si="11"/>
        <v>16670.932063899487</v>
      </c>
      <c r="G38" s="28">
        <f t="shared" si="11"/>
        <v>17213.019563899488</v>
      </c>
      <c r="H38" s="28">
        <f t="shared" si="11"/>
        <v>18005.10706389949</v>
      </c>
      <c r="I38" s="28">
        <f t="shared" si="11"/>
        <v>17170.932063899487</v>
      </c>
      <c r="J38" s="28">
        <f t="shared" si="11"/>
        <v>17213.019563899488</v>
      </c>
      <c r="K38" s="28">
        <f t="shared" si="11"/>
        <v>17463.019563899488</v>
      </c>
      <c r="L38" s="28">
        <f t="shared" si="11"/>
        <v>16670.932063899487</v>
      </c>
      <c r="M38" s="28">
        <f t="shared" si="11"/>
        <v>17755.10706389949</v>
      </c>
      <c r="O38" s="30">
        <f t="shared" si="6"/>
        <v>207769.23529098567</v>
      </c>
      <c r="P38" t="str">
        <f>IF(O38=SUM(O18:O37),"ok","non")</f>
        <v>ok</v>
      </c>
    </row>
    <row r="39" spans="1:17" ht="15.6">
      <c r="A39" s="7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O39" s="45"/>
    </row>
    <row r="40" spans="1:17" outlineLevel="1">
      <c r="A40" s="47" t="s">
        <v>64</v>
      </c>
      <c r="B40" s="191">
        <f>B8/1.2*0.2*0.25</f>
        <v>37.812500000000014</v>
      </c>
      <c r="C40" s="191">
        <f t="shared" ref="C40:M40" si="12">C8/1.2*0.2*0.25</f>
        <v>34.375000000000014</v>
      </c>
      <c r="D40" s="191">
        <f t="shared" si="12"/>
        <v>37.812500000000014</v>
      </c>
      <c r="E40" s="191">
        <f t="shared" si="12"/>
        <v>37.812500000000014</v>
      </c>
      <c r="F40" s="191">
        <f t="shared" si="12"/>
        <v>36.093750000000014</v>
      </c>
      <c r="G40" s="191">
        <f t="shared" si="12"/>
        <v>37.812500000000014</v>
      </c>
      <c r="H40" s="191">
        <f t="shared" si="12"/>
        <v>39.531250000000014</v>
      </c>
      <c r="I40" s="191">
        <f t="shared" si="12"/>
        <v>36.093750000000014</v>
      </c>
      <c r="J40" s="191">
        <f t="shared" si="12"/>
        <v>37.812500000000014</v>
      </c>
      <c r="K40" s="191">
        <f t="shared" si="12"/>
        <v>37.812500000000014</v>
      </c>
      <c r="L40" s="191">
        <f t="shared" si="12"/>
        <v>36.093750000000014</v>
      </c>
      <c r="M40" s="191">
        <f t="shared" si="12"/>
        <v>39.531250000000014</v>
      </c>
      <c r="N40" s="48"/>
      <c r="O40" s="192">
        <f>SUM(B40:M40)</f>
        <v>448.59375000000006</v>
      </c>
    </row>
    <row r="41" spans="1:17" outlineLevel="1">
      <c r="A41" s="47" t="s">
        <v>63</v>
      </c>
      <c r="B41" s="191">
        <f>B7/1.1*0.1+B8/1.1*0.1*0.75</f>
        <v>1794.3750000000005</v>
      </c>
      <c r="C41" s="191">
        <f t="shared" ref="C41:M41" si="13">C7/1.1*0.1+C8/1.1*0.1*0.75</f>
        <v>1631.2500000000002</v>
      </c>
      <c r="D41" s="191">
        <f t="shared" si="13"/>
        <v>1794.3750000000005</v>
      </c>
      <c r="E41" s="191">
        <f t="shared" si="13"/>
        <v>1794.3750000000005</v>
      </c>
      <c r="F41" s="191">
        <f t="shared" si="13"/>
        <v>1712.8125000000005</v>
      </c>
      <c r="G41" s="191">
        <f t="shared" si="13"/>
        <v>1794.3750000000005</v>
      </c>
      <c r="H41" s="191">
        <f t="shared" si="13"/>
        <v>1875.9375000000005</v>
      </c>
      <c r="I41" s="191">
        <f t="shared" si="13"/>
        <v>1712.8125000000005</v>
      </c>
      <c r="J41" s="191">
        <f t="shared" si="13"/>
        <v>1794.3750000000005</v>
      </c>
      <c r="K41" s="191">
        <f t="shared" si="13"/>
        <v>1794.3750000000005</v>
      </c>
      <c r="L41" s="191">
        <f t="shared" si="13"/>
        <v>1712.8125000000005</v>
      </c>
      <c r="M41" s="191">
        <f t="shared" si="13"/>
        <v>1875.9375000000005</v>
      </c>
      <c r="N41" s="48"/>
      <c r="O41" s="192">
        <f t="shared" ref="O41:O47" si="14">SUM(B41:M41)</f>
        <v>21287.812500000004</v>
      </c>
    </row>
    <row r="42" spans="1:17" outlineLevel="1">
      <c r="A42" s="47" t="s">
        <v>62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48"/>
      <c r="O42" s="192">
        <f t="shared" si="14"/>
        <v>0</v>
      </c>
    </row>
    <row r="43" spans="1:17" outlineLevel="1">
      <c r="A43" s="47" t="s">
        <v>58</v>
      </c>
      <c r="B43" s="191">
        <f>(B16/1.2*0.2)+(B19/1.2*0.2)+(B20/1.2*0.2)+(B21/1.2*0.2*0.25)+(B22/1.2*0.2)+(B25/1.2*0.2)+(B26/1.2*0.2)+(B27/1.2*0.2)+(B28/1.2*0.2)+(B30/1.2*0.2)+(B31/1.2*0.2)</f>
        <v>356.77395833333344</v>
      </c>
      <c r="C43" s="191">
        <f t="shared" ref="C43:M43" si="15">(C16/1.2*0.2)+(C19/1.2*0.2)+(C20/1.2*0.2)+(C21/1.2*0.2*0.25)+(C22/1.2*0.2)+(C25/1.2*0.2)+(C26/1.2*0.2)+(C27/1.2*0.2)+(C28/1.2*0.2)+(C30/1.2*0.2)+(C31/1.2*0.2)</f>
        <v>290.55208333333343</v>
      </c>
      <c r="D43" s="191">
        <f t="shared" si="15"/>
        <v>398.44062500000013</v>
      </c>
      <c r="E43" s="191">
        <f t="shared" si="15"/>
        <v>356.77395833333344</v>
      </c>
      <c r="F43" s="191">
        <f t="shared" si="15"/>
        <v>302.82968750000009</v>
      </c>
      <c r="G43" s="191">
        <f t="shared" si="15"/>
        <v>315.10729166666675</v>
      </c>
      <c r="H43" s="191">
        <f t="shared" si="15"/>
        <v>369.0515625000001</v>
      </c>
      <c r="I43" s="191">
        <f t="shared" si="15"/>
        <v>386.16302083333341</v>
      </c>
      <c r="J43" s="191">
        <f t="shared" si="15"/>
        <v>315.10729166666675</v>
      </c>
      <c r="K43" s="191">
        <f t="shared" si="15"/>
        <v>356.77395833333344</v>
      </c>
      <c r="L43" s="191">
        <f t="shared" si="15"/>
        <v>302.82968750000009</v>
      </c>
      <c r="M43" s="191">
        <f t="shared" si="15"/>
        <v>327.38489583333342</v>
      </c>
      <c r="N43" s="191"/>
      <c r="O43" s="192">
        <f t="shared" si="14"/>
        <v>4077.7880208333345</v>
      </c>
    </row>
    <row r="44" spans="1:17" outlineLevel="1">
      <c r="A44" s="47" t="s">
        <v>59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48"/>
      <c r="O44" s="192">
        <f t="shared" si="14"/>
        <v>0</v>
      </c>
    </row>
    <row r="45" spans="1:17" outlineLevel="1">
      <c r="A45" s="47" t="s">
        <v>60</v>
      </c>
      <c r="B45" s="191">
        <f>(B18/1.055*0.055)+(B21/1.055*0.055*0.75)</f>
        <v>356.60234004739345</v>
      </c>
      <c r="C45" s="191">
        <f t="shared" ref="C45:M45" si="16">(C18/1.055*0.055)+(C21/1.055*0.055*0.75)</f>
        <v>324.18394549763036</v>
      </c>
      <c r="D45" s="191">
        <f t="shared" si="16"/>
        <v>356.60234004739345</v>
      </c>
      <c r="E45" s="191">
        <f t="shared" si="16"/>
        <v>356.60234004739345</v>
      </c>
      <c r="F45" s="191">
        <f t="shared" si="16"/>
        <v>340.39314277251191</v>
      </c>
      <c r="G45" s="191">
        <f t="shared" si="16"/>
        <v>356.60234004739345</v>
      </c>
      <c r="H45" s="191">
        <f t="shared" si="16"/>
        <v>372.81153732227494</v>
      </c>
      <c r="I45" s="191">
        <f t="shared" si="16"/>
        <v>340.39314277251191</v>
      </c>
      <c r="J45" s="191">
        <f t="shared" si="16"/>
        <v>356.60234004739345</v>
      </c>
      <c r="K45" s="191">
        <f t="shared" si="16"/>
        <v>356.60234004739345</v>
      </c>
      <c r="L45" s="191">
        <f t="shared" si="16"/>
        <v>340.39314277251191</v>
      </c>
      <c r="M45" s="191">
        <f t="shared" si="16"/>
        <v>372.81153732227494</v>
      </c>
      <c r="N45" s="48"/>
      <c r="O45" s="192">
        <f t="shared" si="14"/>
        <v>4230.6004887440758</v>
      </c>
    </row>
    <row r="46" spans="1:17" outlineLevel="1">
      <c r="A46" s="47" t="s">
        <v>71</v>
      </c>
      <c r="B46" s="191"/>
      <c r="C46" s="191" t="str">
        <f>IF(B47&lt;0,B47,"")</f>
        <v/>
      </c>
      <c r="D46" s="191" t="str">
        <f t="shared" ref="D46:M46" si="17">IF(C47&lt;0,C47,"")</f>
        <v/>
      </c>
      <c r="E46" s="191" t="str">
        <f t="shared" si="17"/>
        <v/>
      </c>
      <c r="F46" s="191" t="str">
        <f t="shared" si="17"/>
        <v/>
      </c>
      <c r="G46" s="191" t="str">
        <f t="shared" si="17"/>
        <v/>
      </c>
      <c r="H46" s="191" t="str">
        <f t="shared" si="17"/>
        <v/>
      </c>
      <c r="I46" s="191" t="str">
        <f t="shared" si="17"/>
        <v/>
      </c>
      <c r="J46" s="191" t="str">
        <f t="shared" si="17"/>
        <v/>
      </c>
      <c r="K46" s="191" t="str">
        <f t="shared" si="17"/>
        <v/>
      </c>
      <c r="L46" s="191" t="str">
        <f t="shared" si="17"/>
        <v/>
      </c>
      <c r="M46" s="191" t="str">
        <f t="shared" si="17"/>
        <v/>
      </c>
      <c r="N46" s="48"/>
      <c r="O46" s="192">
        <f t="shared" si="14"/>
        <v>0</v>
      </c>
    </row>
    <row r="47" spans="1:17" outlineLevel="1">
      <c r="A47" s="47" t="s">
        <v>72</v>
      </c>
      <c r="B47" s="191">
        <f>(SUM(B40:B42))-(SUM(B43:B46))</f>
        <v>1118.8112016192736</v>
      </c>
      <c r="C47" s="191">
        <f>(SUM(C40:C42))-(SUM(C43:C46))</f>
        <v>1050.8889711690365</v>
      </c>
      <c r="D47" s="191">
        <f t="shared" ref="D47:M47" si="18">(SUM(D40:D42))-(SUM(D43:D46))</f>
        <v>1077.1445349526068</v>
      </c>
      <c r="E47" s="191">
        <f t="shared" si="18"/>
        <v>1118.8112016192736</v>
      </c>
      <c r="F47" s="191">
        <f t="shared" si="18"/>
        <v>1105.6834197274884</v>
      </c>
      <c r="G47" s="191">
        <f t="shared" si="18"/>
        <v>1160.4778682859403</v>
      </c>
      <c r="H47" s="191">
        <f t="shared" si="18"/>
        <v>1173.6056501777255</v>
      </c>
      <c r="I47" s="191">
        <f t="shared" si="18"/>
        <v>1022.3500863941551</v>
      </c>
      <c r="J47" s="191">
        <f t="shared" si="18"/>
        <v>1160.4778682859403</v>
      </c>
      <c r="K47" s="191">
        <f t="shared" si="18"/>
        <v>1118.8112016192736</v>
      </c>
      <c r="L47" s="191">
        <f t="shared" si="18"/>
        <v>1105.6834197274884</v>
      </c>
      <c r="M47" s="191">
        <f t="shared" si="18"/>
        <v>1215.2723168443922</v>
      </c>
      <c r="N47" s="48"/>
      <c r="O47" s="194">
        <f t="shared" si="14"/>
        <v>13428.017740422594</v>
      </c>
    </row>
    <row r="48" spans="1:17" ht="15.6">
      <c r="A48" s="7" t="s">
        <v>70</v>
      </c>
      <c r="B48" s="28">
        <f>'Trésorerie année 1'!M47</f>
        <v>1053.281545310929</v>
      </c>
      <c r="C48" s="13">
        <f>IF(B47&gt;0,B47,0)</f>
        <v>1118.8112016192736</v>
      </c>
      <c r="D48" s="13">
        <f t="shared" ref="D48:M48" si="19">IF(C47&gt;0,C47,0)</f>
        <v>1050.8889711690365</v>
      </c>
      <c r="E48" s="13">
        <f t="shared" si="19"/>
        <v>1077.1445349526068</v>
      </c>
      <c r="F48" s="13">
        <f t="shared" si="19"/>
        <v>1118.8112016192736</v>
      </c>
      <c r="G48" s="13">
        <f t="shared" si="19"/>
        <v>1105.6834197274884</v>
      </c>
      <c r="H48" s="13">
        <f t="shared" si="19"/>
        <v>1160.4778682859403</v>
      </c>
      <c r="I48" s="13">
        <f t="shared" si="19"/>
        <v>1173.6056501777255</v>
      </c>
      <c r="J48" s="13">
        <f t="shared" si="19"/>
        <v>1022.3500863941551</v>
      </c>
      <c r="K48" s="13">
        <f t="shared" si="19"/>
        <v>1160.4778682859403</v>
      </c>
      <c r="L48" s="13">
        <f t="shared" si="19"/>
        <v>1118.8112016192736</v>
      </c>
      <c r="M48" s="13">
        <f t="shared" si="19"/>
        <v>1105.6834197274884</v>
      </c>
      <c r="N48" s="46"/>
      <c r="O48" s="193"/>
    </row>
    <row r="50" spans="1:15">
      <c r="A50" s="6" t="s">
        <v>48</v>
      </c>
      <c r="B50" s="11">
        <f>B12-(B16+B38+B48)</f>
        <v>609.43586659778157</v>
      </c>
      <c r="C50" s="11">
        <f t="shared" ref="C50:M50" si="20">C12-(C16+C38+C48)</f>
        <v>902.34423448124289</v>
      </c>
      <c r="D50" s="11">
        <f t="shared" si="20"/>
        <v>1201.09146493148</v>
      </c>
      <c r="E50" s="11">
        <f t="shared" si="20"/>
        <v>1424.8359011479079</v>
      </c>
      <c r="F50" s="11">
        <f t="shared" si="20"/>
        <v>1267.7567344812451</v>
      </c>
      <c r="G50" s="11">
        <f t="shared" si="20"/>
        <v>1646.2970163730279</v>
      </c>
      <c r="H50" s="11">
        <f t="shared" si="20"/>
        <v>1706.9150678145743</v>
      </c>
      <c r="I50" s="11">
        <f t="shared" si="20"/>
        <v>712.96228592279294</v>
      </c>
      <c r="J50" s="11">
        <f t="shared" si="20"/>
        <v>1729.63034970636</v>
      </c>
      <c r="K50" s="11">
        <f t="shared" si="20"/>
        <v>1341.5025678145757</v>
      </c>
      <c r="L50" s="11">
        <f t="shared" si="20"/>
        <v>1267.7567344812451</v>
      </c>
      <c r="M50" s="11">
        <f t="shared" si="20"/>
        <v>2011.7095163730264</v>
      </c>
      <c r="O50" s="190"/>
    </row>
    <row r="51" spans="1:15" ht="31.2">
      <c r="A51" s="188" t="s">
        <v>479</v>
      </c>
      <c r="B51" s="13">
        <f>B3+B50</f>
        <v>26115.808007745916</v>
      </c>
      <c r="C51" s="13">
        <f t="shared" ref="C51:M51" si="21">C3+C50</f>
        <v>27018.152242227159</v>
      </c>
      <c r="D51" s="13">
        <f t="shared" si="21"/>
        <v>28219.243707158639</v>
      </c>
      <c r="E51" s="13">
        <f t="shared" si="21"/>
        <v>29644.079608306547</v>
      </c>
      <c r="F51" s="13">
        <f t="shared" si="21"/>
        <v>30911.836342787792</v>
      </c>
      <c r="G51" s="13">
        <f t="shared" si="21"/>
        <v>32558.13335916082</v>
      </c>
      <c r="H51" s="13">
        <f t="shared" si="21"/>
        <v>34265.048426975394</v>
      </c>
      <c r="I51" s="13">
        <f t="shared" si="21"/>
        <v>34978.010712898191</v>
      </c>
      <c r="J51" s="13">
        <f t="shared" si="21"/>
        <v>36707.641062604554</v>
      </c>
      <c r="K51" s="13">
        <f t="shared" si="21"/>
        <v>38049.14363041913</v>
      </c>
      <c r="L51" s="13">
        <f t="shared" si="21"/>
        <v>39316.900364900372</v>
      </c>
      <c r="M51" s="13">
        <f t="shared" si="21"/>
        <v>41328.609881273398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BF6F0-9371-4E72-BF23-41778B106245}">
  <dimension ref="A1:Q51"/>
  <sheetViews>
    <sheetView zoomScale="95" workbookViewId="0">
      <selection activeCell="C31" sqref="C31"/>
    </sheetView>
  </sheetViews>
  <sheetFormatPr baseColWidth="10" defaultRowHeight="14.4" outlineLevelRow="1"/>
  <cols>
    <col min="1" max="1" width="29.77734375" bestFit="1" customWidth="1"/>
    <col min="2" max="2" width="13" bestFit="1" customWidth="1"/>
    <col min="3" max="7" width="12.88671875" bestFit="1" customWidth="1"/>
    <col min="8" max="8" width="13" bestFit="1" customWidth="1"/>
    <col min="9" max="10" width="12.88671875" bestFit="1" customWidth="1"/>
    <col min="11" max="11" width="13" bestFit="1" customWidth="1"/>
    <col min="12" max="12" width="12.88671875" bestFit="1" customWidth="1"/>
    <col min="13" max="13" width="13" bestFit="1" customWidth="1"/>
    <col min="14" max="14" width="4.21875" customWidth="1"/>
    <col min="15" max="15" width="14" bestFit="1" customWidth="1"/>
  </cols>
  <sheetData>
    <row r="1" spans="1:17" ht="21">
      <c r="A1" s="202" t="s">
        <v>11</v>
      </c>
      <c r="B1" s="33">
        <f>Paramètres!$E$3</f>
        <v>2027</v>
      </c>
    </row>
    <row r="2" spans="1:17">
      <c r="A2" s="141" t="s">
        <v>485</v>
      </c>
    </row>
    <row r="3" spans="1:17">
      <c r="A3" s="31" t="s">
        <v>49</v>
      </c>
      <c r="B3" s="32">
        <f>'Trésorerie année 2'!M51</f>
        <v>41328.609881273398</v>
      </c>
      <c r="C3" s="32">
        <f>B51</f>
        <v>40626.030133442073</v>
      </c>
      <c r="D3" s="32">
        <f t="shared" ref="D3:M3" si="0">C51</f>
        <v>41405.742962581688</v>
      </c>
      <c r="E3" s="32">
        <f t="shared" si="0"/>
        <v>43416.904236695627</v>
      </c>
      <c r="F3" s="32">
        <f t="shared" si="0"/>
        <v>45063.218142553262</v>
      </c>
      <c r="G3" s="32">
        <f t="shared" si="0"/>
        <v>46634.564843385218</v>
      </c>
      <c r="H3" s="32">
        <f t="shared" si="0"/>
        <v>48617.485497524838</v>
      </c>
      <c r="I3" s="32">
        <f t="shared" si="0"/>
        <v>50340.436110856797</v>
      </c>
      <c r="J3" s="32">
        <f t="shared" si="0"/>
        <v>51796.720057522092</v>
      </c>
      <c r="K3" s="32">
        <f t="shared" si="0"/>
        <v>53803.004004187387</v>
      </c>
      <c r="L3" s="32">
        <f t="shared" si="0"/>
        <v>55224.350705019344</v>
      </c>
      <c r="M3" s="32">
        <f t="shared" si="0"/>
        <v>57223.938025825628</v>
      </c>
    </row>
    <row r="5" spans="1:17" ht="15.6">
      <c r="B5" s="4" t="s">
        <v>13</v>
      </c>
      <c r="C5" s="4" t="s">
        <v>27</v>
      </c>
      <c r="D5" s="4" t="s">
        <v>28</v>
      </c>
      <c r="E5" s="4" t="s">
        <v>29</v>
      </c>
      <c r="F5" s="4" t="s">
        <v>30</v>
      </c>
      <c r="G5" s="4" t="s">
        <v>31</v>
      </c>
      <c r="H5" s="4" t="s">
        <v>32</v>
      </c>
      <c r="I5" s="4" t="s">
        <v>33</v>
      </c>
      <c r="J5" s="4" t="s">
        <v>34</v>
      </c>
      <c r="K5" s="4" t="s">
        <v>35</v>
      </c>
      <c r="L5" s="4" t="s">
        <v>36</v>
      </c>
      <c r="M5" s="4" t="s">
        <v>37</v>
      </c>
      <c r="O5" s="4" t="s">
        <v>38</v>
      </c>
    </row>
    <row r="6" spans="1:17">
      <c r="A6" t="s">
        <v>12</v>
      </c>
      <c r="B6" s="2">
        <f>NETWORKDAYS(DATE(Paramètres!$E$3,COLUMN()-1,1),EOMONTH(DATE(Paramètres!$E$3,COLUMN()-1,1),0))</f>
        <v>21</v>
      </c>
      <c r="C6" s="2">
        <f>NETWORKDAYS(DATE(Paramètres!$E$3,COLUMN()-1,1),EOMONTH(DATE(Paramètres!$E$3,COLUMN()-1,1),0))</f>
        <v>20</v>
      </c>
      <c r="D6" s="2">
        <f>NETWORKDAYS(DATE(Paramètres!$E$3,COLUMN()-1,1),EOMONTH(DATE(Paramètres!$E$3,COLUMN()-1,1),0))</f>
        <v>23</v>
      </c>
      <c r="E6" s="2">
        <f>NETWORKDAYS(DATE(Paramètres!$E$3,COLUMN()-1,1),EOMONTH(DATE(Paramètres!$E$3,COLUMN()-1,1),0))</f>
        <v>22</v>
      </c>
      <c r="F6" s="2">
        <f>NETWORKDAYS(DATE(Paramètres!$E$3,COLUMN()-1,1),EOMONTH(DATE(Paramètres!$E$3,COLUMN()-1,1),0))</f>
        <v>21</v>
      </c>
      <c r="G6" s="2">
        <f>NETWORKDAYS(DATE(Paramètres!$E$3,COLUMN()-1,1),EOMONTH(DATE(Paramètres!$E$3,COLUMN()-1,1),0))</f>
        <v>22</v>
      </c>
      <c r="H6" s="2">
        <f>NETWORKDAYS(DATE(Paramètres!$E$3,COLUMN()-1,1),EOMONTH(DATE(Paramètres!$E$3,COLUMN()-1,1),0))</f>
        <v>22</v>
      </c>
      <c r="I6" s="2">
        <f>NETWORKDAYS(DATE(Paramètres!$E$3,COLUMN()-1,1),EOMONTH(DATE(Paramètres!$E$3,COLUMN()-1,1),0))</f>
        <v>22</v>
      </c>
      <c r="J6" s="2">
        <f>NETWORKDAYS(DATE(Paramètres!$E$3,COLUMN()-1,1),EOMONTH(DATE(Paramètres!$E$3,COLUMN()-1,1),0))</f>
        <v>22</v>
      </c>
      <c r="K6" s="2">
        <f>NETWORKDAYS(DATE(Paramètres!$E$3,COLUMN()-1,1),EOMONTH(DATE(Paramètres!$E$3,COLUMN()-1,1),0))</f>
        <v>21</v>
      </c>
      <c r="L6" s="2">
        <f>NETWORKDAYS(DATE(Paramètres!$E$3,COLUMN()-1,1),EOMONTH(DATE(Paramètres!$E$3,COLUMN()-1,1),0))</f>
        <v>22</v>
      </c>
      <c r="M6" s="2">
        <f>NETWORKDAYS(DATE(Paramètres!$E$3,COLUMN()-1,1),EOMONTH(DATE(Paramètres!$E$3,COLUMN()-1,1),0))</f>
        <v>23</v>
      </c>
      <c r="O6" s="2">
        <f>SUM(B6:M6)</f>
        <v>261</v>
      </c>
    </row>
    <row r="7" spans="1:17">
      <c r="A7" s="34" t="s">
        <v>482</v>
      </c>
      <c r="B7" s="35">
        <f>(Paramètres!$E$8*Paramètres!$E$4*'Trésorerie année 3'!B6)</f>
        <v>20055.853125000005</v>
      </c>
      <c r="C7" s="35">
        <f>(Paramètres!$E$8*Paramètres!$E$4*'Trésorerie année 3'!C6)</f>
        <v>19100.812500000004</v>
      </c>
      <c r="D7" s="35">
        <f>(Paramètres!$E$8*Paramètres!$E$4*'Trésorerie année 3'!D6)</f>
        <v>21965.934375000004</v>
      </c>
      <c r="E7" s="35">
        <f>(Paramètres!$E$8*Paramètres!$E$4*'Trésorerie année 3'!E6)</f>
        <v>21010.893750000003</v>
      </c>
      <c r="F7" s="35">
        <f>(Paramètres!$E$8*Paramètres!$E$4*'Trésorerie année 3'!F6)</f>
        <v>20055.853125000005</v>
      </c>
      <c r="G7" s="35">
        <f>(Paramètres!$E$8*Paramètres!$E$4*'Trésorerie année 3'!G6)</f>
        <v>21010.893750000003</v>
      </c>
      <c r="H7" s="35">
        <f>(Paramètres!$E$8*Paramètres!$E$4*'Trésorerie année 3'!H6)</f>
        <v>21010.893750000003</v>
      </c>
      <c r="I7" s="35">
        <f>(Paramètres!$E$8*Paramètres!$E$4*'Trésorerie année 3'!I6)</f>
        <v>21010.893750000003</v>
      </c>
      <c r="J7" s="35">
        <f>(Paramètres!$E$8*Paramètres!$E$4*'Trésorerie année 3'!J6)</f>
        <v>21010.893750000003</v>
      </c>
      <c r="K7" s="35">
        <f>(Paramètres!$E$8*Paramètres!$E$4*'Trésorerie année 3'!K6)</f>
        <v>20055.853125000005</v>
      </c>
      <c r="L7" s="35">
        <f>(Paramètres!$E$8*Paramètres!$E$4*'Trésorerie année 3'!L6)</f>
        <v>21010.893750000003</v>
      </c>
      <c r="M7" s="35">
        <f>(Paramètres!$E$8*Paramètres!$E$4*'Trésorerie année 3'!M6)</f>
        <v>21965.934375000004</v>
      </c>
      <c r="O7" s="11">
        <f t="shared" ref="O7:O12" si="1">SUM(B7:M7)</f>
        <v>249265.60312500002</v>
      </c>
      <c r="P7" s="189"/>
    </row>
    <row r="8" spans="1:17">
      <c r="A8" s="34" t="s">
        <v>483</v>
      </c>
      <c r="B8" s="195">
        <f>Paramètres!$E$8*'Trésorerie année 3'!B6*Paramètres!$E$6*3</f>
        <v>945.94500000000016</v>
      </c>
      <c r="C8" s="195">
        <f>Paramètres!$E$8*'Trésorerie année 3'!C6*Paramètres!$E$6*3</f>
        <v>900.9000000000002</v>
      </c>
      <c r="D8" s="195">
        <f>Paramètres!$E$8*'Trésorerie année 3'!D6*Paramètres!$E$6*3</f>
        <v>1036.0350000000003</v>
      </c>
      <c r="E8" s="195">
        <f>Paramètres!$E$8*'Trésorerie année 3'!E6*Paramètres!$E$6*3</f>
        <v>990.99000000000024</v>
      </c>
      <c r="F8" s="195">
        <f>Paramètres!$E$8*'Trésorerie année 3'!F6*Paramètres!$E$6*3</f>
        <v>945.94500000000016</v>
      </c>
      <c r="G8" s="195">
        <f>Paramètres!$E$8*'Trésorerie année 3'!G6*Paramètres!$E$6*3</f>
        <v>990.99000000000024</v>
      </c>
      <c r="H8" s="195">
        <f>Paramètres!$E$8*'Trésorerie année 3'!H6*Paramètres!$E$6*3</f>
        <v>990.99000000000024</v>
      </c>
      <c r="I8" s="195">
        <f>Paramètres!$E$8*'Trésorerie année 3'!I6*Paramètres!$E$6*3</f>
        <v>990.99000000000024</v>
      </c>
      <c r="J8" s="195">
        <f>Paramètres!$E$8*'Trésorerie année 3'!J6*Paramètres!$E$6*3</f>
        <v>990.99000000000024</v>
      </c>
      <c r="K8" s="195">
        <f>Paramètres!$E$8*'Trésorerie année 3'!K6*Paramètres!$E$6*3</f>
        <v>945.94500000000016</v>
      </c>
      <c r="L8" s="195">
        <f>Paramètres!$E$8*'Trésorerie année 3'!L6*Paramètres!$E$6*3</f>
        <v>990.99000000000024</v>
      </c>
      <c r="M8" s="195">
        <f>Paramètres!$E$8*'Trésorerie année 3'!M6*Paramètres!$E$6*3</f>
        <v>1036.0350000000003</v>
      </c>
      <c r="O8" s="11">
        <f t="shared" si="1"/>
        <v>11756.744999999999</v>
      </c>
      <c r="P8" s="189"/>
      <c r="Q8" s="189"/>
    </row>
    <row r="9" spans="1:17">
      <c r="A9" s="36" t="s">
        <v>331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O9" s="11">
        <f t="shared" ref="O9:O11" si="2">SUM(B9:M9)</f>
        <v>0</v>
      </c>
      <c r="P9" s="189"/>
      <c r="Q9" s="189"/>
    </row>
    <row r="10" spans="1:17">
      <c r="A10" s="36" t="s">
        <v>51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O10" s="11">
        <f t="shared" si="2"/>
        <v>0</v>
      </c>
      <c r="P10" s="189"/>
    </row>
    <row r="11" spans="1:17" ht="15" thickBot="1">
      <c r="A11" s="36" t="s">
        <v>50</v>
      </c>
      <c r="B11" s="38">
        <f>'Plan de financement initial'!H16+'Plan de financement initial'!H19+'Plan de financement initial'!H24</f>
        <v>0</v>
      </c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O11" s="42">
        <f t="shared" si="2"/>
        <v>0</v>
      </c>
    </row>
    <row r="12" spans="1:17" ht="16.2" thickBot="1">
      <c r="A12" s="39" t="s">
        <v>15</v>
      </c>
      <c r="B12" s="40">
        <f t="shared" ref="B12:M12" si="3">SUM(B7:B11)</f>
        <v>21001.798125000005</v>
      </c>
      <c r="C12" s="40">
        <f t="shared" si="3"/>
        <v>20001.712500000005</v>
      </c>
      <c r="D12" s="40">
        <f t="shared" si="3"/>
        <v>23001.969375000004</v>
      </c>
      <c r="E12" s="40">
        <f t="shared" si="3"/>
        <v>22001.883750000005</v>
      </c>
      <c r="F12" s="40">
        <f t="shared" si="3"/>
        <v>21001.798125000005</v>
      </c>
      <c r="G12" s="40">
        <f t="shared" si="3"/>
        <v>22001.883750000005</v>
      </c>
      <c r="H12" s="40">
        <f t="shared" si="3"/>
        <v>22001.883750000005</v>
      </c>
      <c r="I12" s="40">
        <f t="shared" si="3"/>
        <v>22001.883750000005</v>
      </c>
      <c r="J12" s="40">
        <f t="shared" si="3"/>
        <v>22001.883750000005</v>
      </c>
      <c r="K12" s="40">
        <f t="shared" si="3"/>
        <v>21001.798125000005</v>
      </c>
      <c r="L12" s="40">
        <f t="shared" si="3"/>
        <v>22001.883750000005</v>
      </c>
      <c r="M12" s="41">
        <f t="shared" si="3"/>
        <v>23001.969375000004</v>
      </c>
      <c r="O12" s="43">
        <f t="shared" si="1"/>
        <v>261022.34812500008</v>
      </c>
      <c r="P12" t="str">
        <f>IF(O12=SUM(O7:O11),"ok","non")</f>
        <v>ok</v>
      </c>
    </row>
    <row r="14" spans="1:17">
      <c r="A14" t="s">
        <v>16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O14" s="11">
        <f>SUM(B14:M14)</f>
        <v>0</v>
      </c>
    </row>
    <row r="15" spans="1:17">
      <c r="A15" t="s">
        <v>17</v>
      </c>
      <c r="B15" s="11">
        <v>0</v>
      </c>
      <c r="C15" s="11">
        <f>IF(C5=Paramètres!$C$14,Paramètres!$C$13,0)</f>
        <v>0</v>
      </c>
      <c r="D15" s="11">
        <f>IF(D5=Paramètres!$C$14,Paramètres!$C$13,0)</f>
        <v>0</v>
      </c>
      <c r="E15" s="11">
        <f>IF(E5=Paramètres!$C$14,Paramètres!$C$13,0)</f>
        <v>0</v>
      </c>
      <c r="F15" s="11">
        <v>0</v>
      </c>
      <c r="G15" s="11">
        <f>IF(G5=Paramètres!$C$14,Paramètres!$C$13,0)</f>
        <v>0</v>
      </c>
      <c r="H15" s="11">
        <f>IF(H5=Paramètres!$C$14,Paramètres!$C$13,0)</f>
        <v>0</v>
      </c>
      <c r="I15" s="11">
        <f>IF(I5=Paramètres!$C$14,Paramètres!$C$13,0)</f>
        <v>0</v>
      </c>
      <c r="J15" s="11">
        <f>IF(J5=Paramètres!$C$14,Paramètres!$C$13,0)</f>
        <v>0</v>
      </c>
      <c r="K15" s="11">
        <f>IF(K5=Paramètres!$C$14,Paramètres!$C$13,0)</f>
        <v>0</v>
      </c>
      <c r="L15" s="11">
        <f>IF(L5=Paramètres!$C$14,Paramètres!$C$13,0)</f>
        <v>0</v>
      </c>
      <c r="M15" s="11">
        <f>IF(M5=Paramètres!$C$14,Paramètres!$C$13,0)</f>
        <v>0</v>
      </c>
      <c r="O15" s="11">
        <f t="shared" ref="O15:O16" si="4">SUM(B15:M15)</f>
        <v>0</v>
      </c>
    </row>
    <row r="16" spans="1:17" ht="15.6">
      <c r="A16" s="7" t="s">
        <v>18</v>
      </c>
      <c r="B16" s="13">
        <f>SUM(B14:B15)</f>
        <v>0</v>
      </c>
      <c r="C16" s="13">
        <f t="shared" ref="C16:M16" si="5">SUM(C14:C15)</f>
        <v>0</v>
      </c>
      <c r="D16" s="13">
        <f t="shared" si="5"/>
        <v>0</v>
      </c>
      <c r="E16" s="13">
        <f t="shared" si="5"/>
        <v>0</v>
      </c>
      <c r="F16" s="13">
        <f t="shared" si="5"/>
        <v>0</v>
      </c>
      <c r="G16" s="13">
        <f t="shared" si="5"/>
        <v>0</v>
      </c>
      <c r="H16" s="13">
        <f t="shared" si="5"/>
        <v>0</v>
      </c>
      <c r="I16" s="13">
        <f t="shared" si="5"/>
        <v>0</v>
      </c>
      <c r="J16" s="13">
        <f t="shared" si="5"/>
        <v>0</v>
      </c>
      <c r="K16" s="13">
        <f t="shared" si="5"/>
        <v>0</v>
      </c>
      <c r="L16" s="13">
        <f t="shared" si="5"/>
        <v>0</v>
      </c>
      <c r="M16" s="13">
        <f t="shared" si="5"/>
        <v>0</v>
      </c>
      <c r="O16" s="13">
        <f t="shared" si="4"/>
        <v>0</v>
      </c>
      <c r="P16" t="str">
        <f>IF(O16=SUM(O14:O15),"ok","non")</f>
        <v>ok</v>
      </c>
    </row>
    <row r="18" spans="1:17">
      <c r="A18" s="203" t="s">
        <v>19</v>
      </c>
      <c r="B18" s="26">
        <f>B7*Paramètres!$E$5</f>
        <v>7220.1071250000014</v>
      </c>
      <c r="C18" s="26">
        <f>C7*Paramètres!$E$5</f>
        <v>6876.2925000000014</v>
      </c>
      <c r="D18" s="26">
        <f>D7*Paramètres!$E$5</f>
        <v>7907.7363750000013</v>
      </c>
      <c r="E18" s="26">
        <f>E7*Paramètres!$E$5</f>
        <v>7563.9217500000004</v>
      </c>
      <c r="F18" s="26">
        <f>F7*Paramètres!$E$5</f>
        <v>7220.1071250000014</v>
      </c>
      <c r="G18" s="26">
        <f>G7*Paramètres!$E$5</f>
        <v>7563.9217500000004</v>
      </c>
      <c r="H18" s="26">
        <f>H7*Paramètres!$E$5</f>
        <v>7563.9217500000004</v>
      </c>
      <c r="I18" s="26">
        <f>I7*Paramètres!$E$5</f>
        <v>7563.9217500000004</v>
      </c>
      <c r="J18" s="26">
        <f>J7*Paramètres!$E$5</f>
        <v>7563.9217500000004</v>
      </c>
      <c r="K18" s="26">
        <f>K7*Paramètres!$E$5</f>
        <v>7220.1071250000014</v>
      </c>
      <c r="L18" s="26">
        <f>L7*Paramètres!$E$5</f>
        <v>7563.9217500000004</v>
      </c>
      <c r="M18" s="26">
        <f>M7*Paramètres!$E$5</f>
        <v>7907.7363750000013</v>
      </c>
      <c r="O18" s="29">
        <f>SUM(B18:M18)</f>
        <v>89735.617125000004</v>
      </c>
    </row>
    <row r="19" spans="1:17">
      <c r="A19" s="203" t="s">
        <v>20</v>
      </c>
      <c r="B19" s="26">
        <f>Paramètres!$E$7*Paramètres!$E$8*'Trésorerie année 3'!B6</f>
        <v>327.44250000000005</v>
      </c>
      <c r="C19" s="26">
        <f>Paramètres!$E$7*Paramètres!$E$8*'Trésorerie année 3'!C6</f>
        <v>311.85000000000008</v>
      </c>
      <c r="D19" s="26">
        <f>Paramètres!$E$7*Paramètres!$E$8*'Trésorerie année 3'!D6</f>
        <v>358.62750000000005</v>
      </c>
      <c r="E19" s="26">
        <f>Paramètres!$E$7*Paramètres!$E$8*'Trésorerie année 3'!E6</f>
        <v>343.03500000000008</v>
      </c>
      <c r="F19" s="26">
        <f>Paramètres!$E$7*Paramètres!$E$8*'Trésorerie année 3'!F6</f>
        <v>327.44250000000005</v>
      </c>
      <c r="G19" s="26">
        <f>Paramètres!$E$7*Paramètres!$E$8*'Trésorerie année 3'!G6</f>
        <v>343.03500000000008</v>
      </c>
      <c r="H19" s="26">
        <f>Paramètres!$E$7*Paramètres!$E$8*'Trésorerie année 3'!H6</f>
        <v>343.03500000000008</v>
      </c>
      <c r="I19" s="26">
        <f>Paramètres!$E$7*Paramètres!$E$8*'Trésorerie année 3'!I6</f>
        <v>343.03500000000008</v>
      </c>
      <c r="J19" s="26">
        <f>Paramètres!$E$7*Paramètres!$E$8*'Trésorerie année 3'!J6</f>
        <v>343.03500000000008</v>
      </c>
      <c r="K19" s="26">
        <f>Paramètres!$E$7*Paramètres!$E$8*'Trésorerie année 3'!K6</f>
        <v>327.44250000000005</v>
      </c>
      <c r="L19" s="26">
        <f>Paramètres!$E$7*Paramètres!$E$8*'Trésorerie année 3'!L6</f>
        <v>343.03500000000008</v>
      </c>
      <c r="M19" s="26">
        <f>Paramètres!$E$7*Paramètres!$E$8*'Trésorerie année 3'!M6</f>
        <v>358.62750000000005</v>
      </c>
      <c r="O19" s="29">
        <f t="shared" ref="O19:O38" si="6">SUM(B19:M19)</f>
        <v>4069.6425000000004</v>
      </c>
    </row>
    <row r="20" spans="1:17">
      <c r="A20" s="203" t="s">
        <v>21</v>
      </c>
      <c r="B20" s="26">
        <f>Paramètres!$E$9*Paramètres!$E$12*'Trésorerie année 3'!B6</f>
        <v>88.935000000000031</v>
      </c>
      <c r="C20" s="26">
        <f>Paramètres!$E$9*Paramètres!$E$12*'Trésorerie année 3'!C6</f>
        <v>84.700000000000017</v>
      </c>
      <c r="D20" s="26">
        <f>Paramètres!$E$9*Paramètres!$E$12*'Trésorerie année 3'!D6</f>
        <v>97.40500000000003</v>
      </c>
      <c r="E20" s="26">
        <f>Paramètres!$E$9*Paramètres!$E$12*'Trésorerie année 3'!E6</f>
        <v>93.17000000000003</v>
      </c>
      <c r="F20" s="26">
        <f>Paramètres!$E$9*Paramètres!$E$12*'Trésorerie année 3'!F6</f>
        <v>88.935000000000031</v>
      </c>
      <c r="G20" s="26">
        <f>Paramètres!$E$9*Paramètres!$E$12*'Trésorerie année 3'!G6</f>
        <v>93.17000000000003</v>
      </c>
      <c r="H20" s="26">
        <f>Paramètres!$E$9*Paramètres!$E$12*'Trésorerie année 3'!H6</f>
        <v>93.17000000000003</v>
      </c>
      <c r="I20" s="26">
        <f>Paramètres!$E$9*Paramètres!$E$12*'Trésorerie année 3'!I6</f>
        <v>93.17000000000003</v>
      </c>
      <c r="J20" s="26">
        <f>Paramètres!$E$9*Paramètres!$E$12*'Trésorerie année 3'!J6</f>
        <v>93.17000000000003</v>
      </c>
      <c r="K20" s="26">
        <f>Paramètres!$E$9*Paramètres!$E$12*'Trésorerie année 3'!K6</f>
        <v>88.935000000000031</v>
      </c>
      <c r="L20" s="26">
        <f>Paramètres!$E$9*Paramètres!$E$12*'Trésorerie année 3'!L6</f>
        <v>93.17000000000003</v>
      </c>
      <c r="M20" s="26">
        <f>Paramètres!$E$9*Paramètres!$E$12*'Trésorerie année 3'!M6</f>
        <v>97.40500000000003</v>
      </c>
      <c r="O20" s="29">
        <f t="shared" si="6"/>
        <v>1105.3350000000005</v>
      </c>
    </row>
    <row r="21" spans="1:17">
      <c r="A21" s="203" t="s">
        <v>329</v>
      </c>
      <c r="B21" s="26">
        <f>B8*Paramètres!$E$6</f>
        <v>245.94570000000004</v>
      </c>
      <c r="C21" s="26">
        <f>C8*Paramètres!$E$6</f>
        <v>234.23400000000007</v>
      </c>
      <c r="D21" s="26">
        <f>D8*Paramètres!$E$6</f>
        <v>269.36910000000012</v>
      </c>
      <c r="E21" s="26">
        <f>E8*Paramètres!$E$6</f>
        <v>257.65740000000005</v>
      </c>
      <c r="F21" s="26">
        <f>F8*Paramètres!$E$6</f>
        <v>245.94570000000004</v>
      </c>
      <c r="G21" s="26">
        <f>G8*Paramètres!$E$6</f>
        <v>257.65740000000005</v>
      </c>
      <c r="H21" s="26">
        <f>H8*Paramètres!$E$6</f>
        <v>257.65740000000005</v>
      </c>
      <c r="I21" s="26">
        <f>I8*Paramètres!$E$6</f>
        <v>257.65740000000005</v>
      </c>
      <c r="J21" s="26">
        <f>J8*Paramètres!$E$6</f>
        <v>257.65740000000005</v>
      </c>
      <c r="K21" s="26">
        <f>K8*Paramètres!$E$6</f>
        <v>245.94570000000004</v>
      </c>
      <c r="L21" s="26">
        <f>L8*Paramètres!$E$6</f>
        <v>257.65740000000005</v>
      </c>
      <c r="M21" s="26">
        <f>M8*Paramètres!$E$6</f>
        <v>269.36910000000012</v>
      </c>
      <c r="O21" s="29">
        <f t="shared" si="6"/>
        <v>3056.7537000000011</v>
      </c>
    </row>
    <row r="22" spans="1:17">
      <c r="A22" s="203" t="s">
        <v>23</v>
      </c>
      <c r="B22" s="26">
        <f>B7*0.05</f>
        <v>1002.7926562500003</v>
      </c>
      <c r="C22" s="26">
        <f t="shared" ref="C22:M22" si="7">C7*0.05</f>
        <v>955.0406250000002</v>
      </c>
      <c r="D22" s="26">
        <f t="shared" si="7"/>
        <v>1098.2967187500003</v>
      </c>
      <c r="E22" s="26">
        <f t="shared" si="7"/>
        <v>1050.5446875000002</v>
      </c>
      <c r="F22" s="26">
        <f t="shared" si="7"/>
        <v>1002.7926562500003</v>
      </c>
      <c r="G22" s="26">
        <f t="shared" si="7"/>
        <v>1050.5446875000002</v>
      </c>
      <c r="H22" s="26">
        <f t="shared" si="7"/>
        <v>1050.5446875000002</v>
      </c>
      <c r="I22" s="26">
        <f t="shared" si="7"/>
        <v>1050.5446875000002</v>
      </c>
      <c r="J22" s="26">
        <f t="shared" si="7"/>
        <v>1050.5446875000002</v>
      </c>
      <c r="K22" s="26">
        <f t="shared" si="7"/>
        <v>1002.7926562500003</v>
      </c>
      <c r="L22" s="26">
        <f t="shared" si="7"/>
        <v>1050.5446875000002</v>
      </c>
      <c r="M22" s="26">
        <f t="shared" si="7"/>
        <v>1098.2967187500003</v>
      </c>
      <c r="O22" s="29">
        <f t="shared" si="6"/>
        <v>12463.280156250001</v>
      </c>
    </row>
    <row r="23" spans="1:17">
      <c r="A23" t="s">
        <v>68</v>
      </c>
      <c r="B23" s="26">
        <f>Paramètres!$E$10*'Trésorerie année 3'!B6</f>
        <v>3472.875</v>
      </c>
      <c r="C23" s="26">
        <f>Paramètres!$E$10*'Trésorerie année 3'!C6</f>
        <v>3307.5</v>
      </c>
      <c r="D23" s="26">
        <f>Paramètres!$E$10*'Trésorerie année 3'!D6</f>
        <v>3803.625</v>
      </c>
      <c r="E23" s="26">
        <f>Paramètres!$E$10*'Trésorerie année 3'!E6</f>
        <v>3638.25</v>
      </c>
      <c r="F23" s="26">
        <f>Paramètres!$E$10*'Trésorerie année 3'!F6</f>
        <v>3472.875</v>
      </c>
      <c r="G23" s="26">
        <f>Paramètres!$E$10*'Trésorerie année 3'!G6</f>
        <v>3638.25</v>
      </c>
      <c r="H23" s="26">
        <f>Paramètres!$E$10*'Trésorerie année 3'!H6</f>
        <v>3638.25</v>
      </c>
      <c r="I23" s="26">
        <f>Paramètres!$E$10*'Trésorerie année 3'!I6</f>
        <v>3638.25</v>
      </c>
      <c r="J23" s="26">
        <f>Paramètres!$E$10*'Trésorerie année 3'!J6</f>
        <v>3638.25</v>
      </c>
      <c r="K23" s="26">
        <f>Paramètres!$E$10*'Trésorerie année 3'!K6</f>
        <v>3472.875</v>
      </c>
      <c r="L23" s="26">
        <f>Paramètres!$E$10*'Trésorerie année 3'!L6</f>
        <v>3638.25</v>
      </c>
      <c r="M23" s="26">
        <f>Paramètres!$E$10*'Trésorerie année 3'!M6</f>
        <v>3803.625</v>
      </c>
      <c r="O23" s="29">
        <f t="shared" ref="O23:O37" si="8">SUM(B23:M23)</f>
        <v>43162.875</v>
      </c>
    </row>
    <row r="24" spans="1:17">
      <c r="A24" t="s">
        <v>56</v>
      </c>
      <c r="B24" s="26">
        <v>500</v>
      </c>
      <c r="C24" s="26">
        <v>500</v>
      </c>
      <c r="D24" s="26">
        <v>500</v>
      </c>
      <c r="E24" s="26">
        <v>500</v>
      </c>
      <c r="F24" s="26">
        <v>500</v>
      </c>
      <c r="G24" s="26">
        <v>500</v>
      </c>
      <c r="H24" s="26">
        <v>500</v>
      </c>
      <c r="I24" s="26">
        <v>500</v>
      </c>
      <c r="J24" s="26">
        <v>500</v>
      </c>
      <c r="K24" s="26">
        <v>500</v>
      </c>
      <c r="L24" s="26">
        <v>500</v>
      </c>
      <c r="M24" s="26">
        <v>500</v>
      </c>
      <c r="O24" s="29">
        <f t="shared" si="8"/>
        <v>6000</v>
      </c>
    </row>
    <row r="25" spans="1:17">
      <c r="A25" t="s">
        <v>53</v>
      </c>
      <c r="B25" s="26">
        <f>20</f>
        <v>20</v>
      </c>
      <c r="C25" s="26">
        <v>20</v>
      </c>
      <c r="D25" s="26">
        <v>20</v>
      </c>
      <c r="E25" s="26">
        <v>20</v>
      </c>
      <c r="F25" s="26">
        <v>20</v>
      </c>
      <c r="G25" s="26">
        <v>20</v>
      </c>
      <c r="H25" s="26">
        <v>20</v>
      </c>
      <c r="I25" s="26">
        <v>20</v>
      </c>
      <c r="J25" s="26">
        <v>20</v>
      </c>
      <c r="K25" s="26">
        <v>20</v>
      </c>
      <c r="L25" s="26">
        <v>20</v>
      </c>
      <c r="M25" s="26">
        <v>20</v>
      </c>
      <c r="O25" s="29">
        <f t="shared" si="8"/>
        <v>240</v>
      </c>
    </row>
    <row r="26" spans="1:17">
      <c r="A26" s="203" t="s">
        <v>52</v>
      </c>
      <c r="B26" s="26">
        <f>(B7+B8)*0.01</f>
        <v>210.01798125000005</v>
      </c>
      <c r="C26" s="26">
        <f t="shared" ref="C26:M26" si="9">(C7+C8)*0.01</f>
        <v>200.01712500000005</v>
      </c>
      <c r="D26" s="26">
        <f t="shared" si="9"/>
        <v>230.01969375000004</v>
      </c>
      <c r="E26" s="26">
        <f t="shared" si="9"/>
        <v>220.01883750000005</v>
      </c>
      <c r="F26" s="26">
        <f t="shared" si="9"/>
        <v>210.01798125000005</v>
      </c>
      <c r="G26" s="26">
        <f t="shared" si="9"/>
        <v>220.01883750000005</v>
      </c>
      <c r="H26" s="26">
        <f t="shared" si="9"/>
        <v>220.01883750000005</v>
      </c>
      <c r="I26" s="26">
        <f t="shared" si="9"/>
        <v>220.01883750000005</v>
      </c>
      <c r="J26" s="26">
        <f t="shared" si="9"/>
        <v>220.01883750000005</v>
      </c>
      <c r="K26" s="26">
        <f t="shared" si="9"/>
        <v>210.01798125000005</v>
      </c>
      <c r="L26" s="26">
        <f t="shared" si="9"/>
        <v>220.01883750000005</v>
      </c>
      <c r="M26" s="26">
        <f t="shared" si="9"/>
        <v>230.01969375000004</v>
      </c>
      <c r="O26" s="29">
        <f t="shared" si="8"/>
        <v>2610.2234812500005</v>
      </c>
    </row>
    <row r="27" spans="1:17">
      <c r="A27" t="s">
        <v>61</v>
      </c>
      <c r="B27" s="26"/>
      <c r="C27" s="26">
        <v>400</v>
      </c>
      <c r="D27" s="26"/>
      <c r="E27" s="26">
        <v>300</v>
      </c>
      <c r="F27" s="26"/>
      <c r="G27" s="26"/>
      <c r="H27" s="26">
        <v>200</v>
      </c>
      <c r="I27" s="26"/>
      <c r="J27" s="26"/>
      <c r="K27" s="26">
        <v>100</v>
      </c>
      <c r="L27" s="26"/>
      <c r="M27" s="26"/>
      <c r="O27" s="29">
        <f t="shared" si="8"/>
        <v>1000</v>
      </c>
    </row>
    <row r="28" spans="1:17">
      <c r="A28" t="s">
        <v>25</v>
      </c>
      <c r="B28" s="26">
        <v>150</v>
      </c>
      <c r="C28" s="26">
        <v>150</v>
      </c>
      <c r="D28" s="26">
        <v>150</v>
      </c>
      <c r="E28" s="26">
        <v>150</v>
      </c>
      <c r="F28" s="26">
        <v>150</v>
      </c>
      <c r="G28" s="26">
        <v>150</v>
      </c>
      <c r="H28" s="26">
        <v>150</v>
      </c>
      <c r="I28" s="26">
        <v>150</v>
      </c>
      <c r="J28" s="26">
        <v>150</v>
      </c>
      <c r="K28" s="26">
        <v>150</v>
      </c>
      <c r="L28" s="26">
        <v>150</v>
      </c>
      <c r="M28" s="26">
        <v>150</v>
      </c>
      <c r="O28" s="29">
        <f t="shared" si="8"/>
        <v>1800</v>
      </c>
    </row>
    <row r="29" spans="1:17">
      <c r="A29" t="s">
        <v>338</v>
      </c>
      <c r="B29" s="26">
        <v>225</v>
      </c>
      <c r="C29" s="26">
        <v>225</v>
      </c>
      <c r="D29" s="26">
        <v>225</v>
      </c>
      <c r="E29" s="26">
        <v>225</v>
      </c>
      <c r="F29" s="26">
        <v>225</v>
      </c>
      <c r="G29" s="26">
        <v>225</v>
      </c>
      <c r="H29" s="26">
        <v>225</v>
      </c>
      <c r="I29" s="26">
        <v>225</v>
      </c>
      <c r="J29" s="26">
        <v>225</v>
      </c>
      <c r="K29" s="26">
        <v>225</v>
      </c>
      <c r="L29" s="26">
        <v>225</v>
      </c>
      <c r="M29" s="26">
        <v>225</v>
      </c>
      <c r="O29" s="29">
        <f t="shared" si="8"/>
        <v>2700</v>
      </c>
    </row>
    <row r="30" spans="1:17">
      <c r="A30" t="s">
        <v>54</v>
      </c>
      <c r="B30" s="26"/>
      <c r="C30" s="26"/>
      <c r="D30" s="26">
        <v>500</v>
      </c>
      <c r="E30" s="26"/>
      <c r="F30" s="26"/>
      <c r="G30" s="26"/>
      <c r="H30" s="26"/>
      <c r="I30" s="26">
        <v>500</v>
      </c>
      <c r="J30" s="26"/>
      <c r="K30" s="26"/>
      <c r="L30" s="26"/>
      <c r="M30" s="26"/>
      <c r="O30" s="29">
        <f t="shared" si="8"/>
        <v>1000</v>
      </c>
      <c r="Q30" s="189"/>
    </row>
    <row r="31" spans="1:17">
      <c r="A31" t="s">
        <v>55</v>
      </c>
      <c r="B31" s="26">
        <f>100</f>
        <v>100</v>
      </c>
      <c r="C31" s="26">
        <v>100</v>
      </c>
      <c r="D31" s="26">
        <v>100</v>
      </c>
      <c r="E31" s="26">
        <v>100</v>
      </c>
      <c r="F31" s="26">
        <v>100</v>
      </c>
      <c r="G31" s="26">
        <v>100</v>
      </c>
      <c r="H31" s="26">
        <v>100</v>
      </c>
      <c r="I31" s="26">
        <v>100</v>
      </c>
      <c r="J31" s="26">
        <v>100</v>
      </c>
      <c r="K31" s="26">
        <v>100</v>
      </c>
      <c r="L31" s="26">
        <v>100</v>
      </c>
      <c r="M31" s="26">
        <v>100</v>
      </c>
      <c r="O31" s="29">
        <f t="shared" si="8"/>
        <v>1200</v>
      </c>
    </row>
    <row r="32" spans="1:17">
      <c r="A32" t="s">
        <v>24</v>
      </c>
      <c r="B32" s="26">
        <v>100</v>
      </c>
      <c r="C32" s="26">
        <v>100</v>
      </c>
      <c r="D32" s="26">
        <v>100</v>
      </c>
      <c r="E32" s="26">
        <v>100</v>
      </c>
      <c r="F32" s="26">
        <v>100</v>
      </c>
      <c r="G32" s="26">
        <v>100</v>
      </c>
      <c r="H32" s="26">
        <v>100</v>
      </c>
      <c r="I32" s="26">
        <v>100</v>
      </c>
      <c r="J32" s="26">
        <v>100</v>
      </c>
      <c r="K32" s="26">
        <v>100</v>
      </c>
      <c r="L32" s="26">
        <v>100</v>
      </c>
      <c r="M32" s="26">
        <v>100</v>
      </c>
      <c r="O32" s="29">
        <f t="shared" si="8"/>
        <v>1200</v>
      </c>
    </row>
    <row r="33" spans="1:17">
      <c r="A33" t="s">
        <v>65</v>
      </c>
      <c r="B33" s="26">
        <f>'Trésorerie année 2'!B33*1.1</f>
        <v>2662</v>
      </c>
      <c r="C33" s="26">
        <f>'Trésorerie année 2'!C33*1.1</f>
        <v>2662</v>
      </c>
      <c r="D33" s="26">
        <f>'Trésorerie année 2'!D33*1.1</f>
        <v>2662</v>
      </c>
      <c r="E33" s="26">
        <f>'Trésorerie année 2'!E33*1.1</f>
        <v>2662</v>
      </c>
      <c r="F33" s="26">
        <f>'Trésorerie année 2'!F33*1.1</f>
        <v>2662</v>
      </c>
      <c r="G33" s="26">
        <f>'Trésorerie année 2'!G33*1.1</f>
        <v>2662</v>
      </c>
      <c r="H33" s="26">
        <f>'Trésorerie année 2'!H33*1.1</f>
        <v>2662</v>
      </c>
      <c r="I33" s="26">
        <f>'Trésorerie année 2'!I33*1.1</f>
        <v>2662</v>
      </c>
      <c r="J33" s="26">
        <f>'Trésorerie année 2'!J33*1.1</f>
        <v>2662</v>
      </c>
      <c r="K33" s="26">
        <f>'Trésorerie année 2'!K33*1.1</f>
        <v>2662</v>
      </c>
      <c r="L33" s="26">
        <f>'Trésorerie année 2'!L33*1.1</f>
        <v>2662</v>
      </c>
      <c r="M33" s="26">
        <f>'Trésorerie année 2'!M33*1.1</f>
        <v>2662</v>
      </c>
      <c r="O33" s="29">
        <f t="shared" si="8"/>
        <v>31944</v>
      </c>
    </row>
    <row r="34" spans="1:17">
      <c r="A34" t="s">
        <v>66</v>
      </c>
      <c r="B34" s="26">
        <f>B33*0.45</f>
        <v>1197.9000000000001</v>
      </c>
      <c r="C34" s="26">
        <f t="shared" ref="C34:M34" si="10">C33*0.45</f>
        <v>1197.9000000000001</v>
      </c>
      <c r="D34" s="26">
        <f t="shared" si="10"/>
        <v>1197.9000000000001</v>
      </c>
      <c r="E34" s="26">
        <f t="shared" si="10"/>
        <v>1197.9000000000001</v>
      </c>
      <c r="F34" s="26">
        <f t="shared" si="10"/>
        <v>1197.9000000000001</v>
      </c>
      <c r="G34" s="26">
        <f t="shared" si="10"/>
        <v>1197.9000000000001</v>
      </c>
      <c r="H34" s="26">
        <f t="shared" si="10"/>
        <v>1197.9000000000001</v>
      </c>
      <c r="I34" s="26">
        <f t="shared" si="10"/>
        <v>1197.9000000000001</v>
      </c>
      <c r="J34" s="26">
        <f t="shared" si="10"/>
        <v>1197.9000000000001</v>
      </c>
      <c r="K34" s="26">
        <f t="shared" si="10"/>
        <v>1197.9000000000001</v>
      </c>
      <c r="L34" s="26">
        <f t="shared" si="10"/>
        <v>1197.9000000000001</v>
      </c>
      <c r="M34" s="26">
        <f t="shared" si="10"/>
        <v>1197.9000000000001</v>
      </c>
      <c r="N34" s="26"/>
      <c r="O34" s="29">
        <f t="shared" si="8"/>
        <v>14374.799999999997</v>
      </c>
    </row>
    <row r="35" spans="1:17">
      <c r="A35" t="s">
        <v>57</v>
      </c>
      <c r="B35" s="26">
        <v>10</v>
      </c>
      <c r="C35" s="26">
        <v>10</v>
      </c>
      <c r="D35" s="26">
        <v>10</v>
      </c>
      <c r="E35" s="26">
        <v>10</v>
      </c>
      <c r="F35" s="26">
        <v>10</v>
      </c>
      <c r="G35" s="26">
        <v>10</v>
      </c>
      <c r="H35" s="26">
        <v>10</v>
      </c>
      <c r="I35" s="26">
        <v>10</v>
      </c>
      <c r="J35" s="26">
        <v>10</v>
      </c>
      <c r="K35" s="26">
        <v>10</v>
      </c>
      <c r="L35" s="26">
        <v>10</v>
      </c>
      <c r="M35" s="26">
        <v>10</v>
      </c>
      <c r="O35" s="29">
        <f t="shared" si="8"/>
        <v>120</v>
      </c>
    </row>
    <row r="36" spans="1:17">
      <c r="A36" t="s">
        <v>22</v>
      </c>
      <c r="B36" s="27">
        <f>IF(Paramètres!$C$15="",0,-PMT(Paramètres!$C$16/12,Paramètres!$C$17*12,Paramètres!$C$15))</f>
        <v>673.09456389948684</v>
      </c>
      <c r="C36" s="27">
        <f>IF(Paramètres!$C$15="",0,-PMT(Paramètres!$C$16/12,Paramètres!$C$17*12,Paramètres!$C$15))</f>
        <v>673.09456389948684</v>
      </c>
      <c r="D36" s="27">
        <f>IF(Paramètres!$C$15="",0,-PMT(Paramètres!$C$16/12,Paramètres!$C$17*12,Paramètres!$C$15))</f>
        <v>673.09456389948684</v>
      </c>
      <c r="E36" s="27">
        <f>IF(Paramètres!$C$15="",0,-PMT(Paramètres!$C$16/12,Paramètres!$C$17*12,Paramètres!$C$15))</f>
        <v>673.09456389948684</v>
      </c>
      <c r="F36" s="27">
        <f>IF(Paramètres!$C$15="",0,-PMT(Paramètres!$C$16/12,Paramètres!$C$17*12,Paramètres!$C$15))</f>
        <v>673.09456389948684</v>
      </c>
      <c r="G36" s="27">
        <f>IF(Paramètres!$C$15="",0,-PMT(Paramètres!$C$16/12,Paramètres!$C$17*12,Paramètres!$C$15))</f>
        <v>673.09456389948684</v>
      </c>
      <c r="H36" s="27">
        <f>IF(Paramètres!$C$15="",0,-PMT(Paramètres!$C$16/12,Paramètres!$C$17*12,Paramètres!$C$15))</f>
        <v>673.09456389948684</v>
      </c>
      <c r="I36" s="27">
        <f>IF(Paramètres!$C$15="",0,-PMT(Paramètres!$C$16/12,Paramètres!$C$17*12,Paramètres!$C$15))</f>
        <v>673.09456389948684</v>
      </c>
      <c r="J36" s="27">
        <f>IF(Paramètres!$C$15="",0,-PMT(Paramètres!$C$16/12,Paramètres!$C$17*12,Paramètres!$C$15))</f>
        <v>673.09456389948684</v>
      </c>
      <c r="K36" s="27">
        <f>IF(Paramètres!$C$15="",0,-PMT(Paramètres!$C$16/12,Paramètres!$C$17*12,Paramètres!$C$15))</f>
        <v>673.09456389948684</v>
      </c>
      <c r="L36" s="27">
        <f>IF(Paramètres!$C$15="",0,-PMT(Paramètres!$C$16/12,Paramètres!$C$17*12,Paramètres!$C$15))</f>
        <v>673.09456389948684</v>
      </c>
      <c r="M36" s="27">
        <f>IF(Paramètres!$C$15="",0,-PMT(Paramètres!$C$16/12,Paramètres!$C$17*12,Paramètres!$C$15))</f>
        <v>673.09456389948684</v>
      </c>
      <c r="O36" s="29">
        <f t="shared" si="8"/>
        <v>8077.1347667938435</v>
      </c>
      <c r="P36" s="172"/>
      <c r="Q36" s="172"/>
    </row>
    <row r="37" spans="1:17">
      <c r="A37" t="s">
        <v>67</v>
      </c>
      <c r="B37" s="27">
        <f>'CR pluriannuel '!E11</f>
        <v>2282.9950295874469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O37" s="29">
        <f t="shared" si="8"/>
        <v>2282.9950295874469</v>
      </c>
    </row>
    <row r="38" spans="1:17" ht="15.6">
      <c r="A38" s="7" t="s">
        <v>26</v>
      </c>
      <c r="B38" s="28">
        <f>SUM(B18:B37)</f>
        <v>20489.105555986938</v>
      </c>
      <c r="C38" s="28">
        <f t="shared" ref="C38:M38" si="11">SUM(C18:C37)</f>
        <v>18007.62881389949</v>
      </c>
      <c r="D38" s="28">
        <f t="shared" si="11"/>
        <v>19903.073951399489</v>
      </c>
      <c r="E38" s="28">
        <f t="shared" si="11"/>
        <v>19104.592238899484</v>
      </c>
      <c r="F38" s="28">
        <f t="shared" si="11"/>
        <v>18206.11052639949</v>
      </c>
      <c r="G38" s="28">
        <f t="shared" si="11"/>
        <v>18804.592238899484</v>
      </c>
      <c r="H38" s="28">
        <f t="shared" si="11"/>
        <v>19004.592238899484</v>
      </c>
      <c r="I38" s="28">
        <f t="shared" si="11"/>
        <v>19304.592238899484</v>
      </c>
      <c r="J38" s="28">
        <f t="shared" si="11"/>
        <v>18804.592238899484</v>
      </c>
      <c r="K38" s="28">
        <f t="shared" si="11"/>
        <v>18306.11052639949</v>
      </c>
      <c r="L38" s="28">
        <f t="shared" si="11"/>
        <v>18804.592238899484</v>
      </c>
      <c r="M38" s="28">
        <f t="shared" si="11"/>
        <v>19403.073951399489</v>
      </c>
      <c r="O38" s="30">
        <f t="shared" si="6"/>
        <v>228142.65675888129</v>
      </c>
      <c r="P38" t="str">
        <f>IF(O38=SUM(O18:O37),"ok","non")</f>
        <v>ok</v>
      </c>
    </row>
    <row r="39" spans="1:17" ht="15.6">
      <c r="A39" s="7"/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O39" s="45"/>
    </row>
    <row r="40" spans="1:17" outlineLevel="1">
      <c r="A40" s="47" t="s">
        <v>64</v>
      </c>
      <c r="B40" s="191">
        <f>B8/1.2*0.2*0.25</f>
        <v>39.414375000000007</v>
      </c>
      <c r="C40" s="191">
        <f t="shared" ref="C40:M40" si="12">C8/1.2*0.2*0.25</f>
        <v>37.537500000000016</v>
      </c>
      <c r="D40" s="191">
        <f t="shared" si="12"/>
        <v>43.168125000000018</v>
      </c>
      <c r="E40" s="191">
        <f t="shared" si="12"/>
        <v>41.291250000000019</v>
      </c>
      <c r="F40" s="191">
        <f t="shared" si="12"/>
        <v>39.414375000000007</v>
      </c>
      <c r="G40" s="191">
        <f t="shared" si="12"/>
        <v>41.291250000000019</v>
      </c>
      <c r="H40" s="191">
        <f t="shared" si="12"/>
        <v>41.291250000000019</v>
      </c>
      <c r="I40" s="191">
        <f t="shared" si="12"/>
        <v>41.291250000000019</v>
      </c>
      <c r="J40" s="191">
        <f t="shared" si="12"/>
        <v>41.291250000000019</v>
      </c>
      <c r="K40" s="191">
        <f t="shared" si="12"/>
        <v>39.414375000000007</v>
      </c>
      <c r="L40" s="191">
        <f t="shared" si="12"/>
        <v>41.291250000000019</v>
      </c>
      <c r="M40" s="191">
        <f t="shared" si="12"/>
        <v>43.168125000000018</v>
      </c>
      <c r="N40" s="48"/>
      <c r="O40" s="192">
        <f>SUM(B40:M40)</f>
        <v>489.86437500000022</v>
      </c>
    </row>
    <row r="41" spans="1:17" outlineLevel="1">
      <c r="A41" s="47" t="s">
        <v>63</v>
      </c>
      <c r="B41" s="191">
        <f>B7/1.1*0.1+B8/1.1*0.1*0.75</f>
        <v>1887.7556250000005</v>
      </c>
      <c r="C41" s="191">
        <f t="shared" ref="C41:M41" si="13">C7/1.1*0.1+C8/1.1*0.1*0.75</f>
        <v>1797.8625000000004</v>
      </c>
      <c r="D41" s="191">
        <f t="shared" si="13"/>
        <v>2067.5418750000003</v>
      </c>
      <c r="E41" s="191">
        <f t="shared" si="13"/>
        <v>1977.6487500000003</v>
      </c>
      <c r="F41" s="191">
        <f t="shared" si="13"/>
        <v>1887.7556250000005</v>
      </c>
      <c r="G41" s="191">
        <f t="shared" si="13"/>
        <v>1977.6487500000003</v>
      </c>
      <c r="H41" s="191">
        <f t="shared" si="13"/>
        <v>1977.6487500000003</v>
      </c>
      <c r="I41" s="191">
        <f t="shared" si="13"/>
        <v>1977.6487500000003</v>
      </c>
      <c r="J41" s="191">
        <f t="shared" si="13"/>
        <v>1977.6487500000003</v>
      </c>
      <c r="K41" s="191">
        <f t="shared" si="13"/>
        <v>1887.7556250000005</v>
      </c>
      <c r="L41" s="191">
        <f t="shared" si="13"/>
        <v>1977.6487500000003</v>
      </c>
      <c r="M41" s="191">
        <f t="shared" si="13"/>
        <v>2067.5418750000003</v>
      </c>
      <c r="N41" s="48"/>
      <c r="O41" s="192">
        <f t="shared" ref="O41:O47" si="14">SUM(B41:M41)</f>
        <v>23462.105625000004</v>
      </c>
    </row>
    <row r="42" spans="1:17" outlineLevel="1">
      <c r="A42" s="47" t="s">
        <v>62</v>
      </c>
      <c r="B42" s="191"/>
      <c r="C42" s="191"/>
      <c r="D42" s="191"/>
      <c r="E42" s="191"/>
      <c r="F42" s="191"/>
      <c r="G42" s="191"/>
      <c r="H42" s="191"/>
      <c r="I42" s="191"/>
      <c r="J42" s="191"/>
      <c r="K42" s="191"/>
      <c r="L42" s="191"/>
      <c r="M42" s="191"/>
      <c r="N42" s="48"/>
      <c r="O42" s="192">
        <f t="shared" si="14"/>
        <v>0</v>
      </c>
    </row>
    <row r="43" spans="1:17" outlineLevel="1">
      <c r="A43" s="47" t="s">
        <v>58</v>
      </c>
      <c r="B43" s="191">
        <f>(B16/1.2*0.2)+(B19/1.2*0.2)+(B20/1.2*0.2)+(B21/1.2*0.2*0.25)+(B22/1.2*0.2)+(B25/1.2*0.2)+(B26/1.2*0.2)+(B27/1.2*0.2)+(B28/1.2*0.2)+(B30/1.2*0.2)+(B31/1.2*0.2)</f>
        <v>326.77909375000007</v>
      </c>
      <c r="C43" s="191">
        <f t="shared" ref="C43:M43" si="15">(C16/1.2*0.2)+(C19/1.2*0.2)+(C20/1.2*0.2)+(C21/1.2*0.2*0.25)+(C22/1.2*0.2)+(C25/1.2*0.2)+(C26/1.2*0.2)+(C27/1.2*0.2)+(C28/1.2*0.2)+(C30/1.2*0.2)+(C31/1.2*0.2)</f>
        <v>380.02770833333346</v>
      </c>
      <c r="D43" s="191">
        <f t="shared" si="15"/>
        <v>436.94853125000014</v>
      </c>
      <c r="E43" s="191">
        <f t="shared" si="15"/>
        <v>390.19714583333342</v>
      </c>
      <c r="F43" s="191">
        <f t="shared" si="15"/>
        <v>326.77909375000007</v>
      </c>
      <c r="G43" s="191">
        <f t="shared" si="15"/>
        <v>340.19714583333342</v>
      </c>
      <c r="H43" s="191">
        <f t="shared" si="15"/>
        <v>373.53047916666674</v>
      </c>
      <c r="I43" s="191">
        <f t="shared" si="15"/>
        <v>423.53047916666679</v>
      </c>
      <c r="J43" s="191">
        <f t="shared" si="15"/>
        <v>340.19714583333342</v>
      </c>
      <c r="K43" s="191">
        <f t="shared" si="15"/>
        <v>343.44576041666676</v>
      </c>
      <c r="L43" s="191">
        <f t="shared" si="15"/>
        <v>340.19714583333342</v>
      </c>
      <c r="M43" s="191">
        <f t="shared" si="15"/>
        <v>353.61519791666677</v>
      </c>
      <c r="N43" s="191"/>
      <c r="O43" s="192">
        <f t="shared" si="14"/>
        <v>4375.4449270833347</v>
      </c>
    </row>
    <row r="44" spans="1:17" outlineLevel="1">
      <c r="A44" s="47" t="s">
        <v>59</v>
      </c>
      <c r="B44" s="191"/>
      <c r="C44" s="191"/>
      <c r="D44" s="191"/>
      <c r="E44" s="191"/>
      <c r="F44" s="191"/>
      <c r="G44" s="191"/>
      <c r="H44" s="191"/>
      <c r="I44" s="191"/>
      <c r="J44" s="191"/>
      <c r="K44" s="191"/>
      <c r="L44" s="191"/>
      <c r="M44" s="191"/>
      <c r="N44" s="48"/>
      <c r="O44" s="192">
        <f t="shared" si="14"/>
        <v>0</v>
      </c>
    </row>
    <row r="45" spans="1:17" outlineLevel="1">
      <c r="A45" s="47" t="s">
        <v>60</v>
      </c>
      <c r="B45" s="191">
        <f>(B18/1.055*0.055)+(B21/1.055*0.055*0.75)</f>
        <v>386.02004928909963</v>
      </c>
      <c r="C45" s="191">
        <f t="shared" ref="C45:M45" si="16">(C18/1.055*0.055)+(C21/1.055*0.055*0.75)</f>
        <v>367.63814218009492</v>
      </c>
      <c r="D45" s="191">
        <f t="shared" si="16"/>
        <v>422.78386350710906</v>
      </c>
      <c r="E45" s="191">
        <f t="shared" si="16"/>
        <v>404.40195639810429</v>
      </c>
      <c r="F45" s="191">
        <f t="shared" si="16"/>
        <v>386.02004928909963</v>
      </c>
      <c r="G45" s="191">
        <f t="shared" si="16"/>
        <v>404.40195639810429</v>
      </c>
      <c r="H45" s="191">
        <f t="shared" si="16"/>
        <v>404.40195639810429</v>
      </c>
      <c r="I45" s="191">
        <f t="shared" si="16"/>
        <v>404.40195639810429</v>
      </c>
      <c r="J45" s="191">
        <f t="shared" si="16"/>
        <v>404.40195639810429</v>
      </c>
      <c r="K45" s="191">
        <f t="shared" si="16"/>
        <v>386.02004928909963</v>
      </c>
      <c r="L45" s="191">
        <f t="shared" si="16"/>
        <v>404.40195639810429</v>
      </c>
      <c r="M45" s="191">
        <f t="shared" si="16"/>
        <v>422.78386350710906</v>
      </c>
      <c r="N45" s="48"/>
      <c r="O45" s="192">
        <f t="shared" si="14"/>
        <v>4797.6777554502378</v>
      </c>
    </row>
    <row r="46" spans="1:17" outlineLevel="1">
      <c r="A46" s="47" t="s">
        <v>71</v>
      </c>
      <c r="B46" s="191"/>
      <c r="C46" s="191" t="str">
        <f>IF(B47&lt;0,B47,"")</f>
        <v/>
      </c>
      <c r="D46" s="191" t="str">
        <f t="shared" ref="D46:M46" si="17">IF(C47&lt;0,C47,"")</f>
        <v/>
      </c>
      <c r="E46" s="191" t="str">
        <f t="shared" si="17"/>
        <v/>
      </c>
      <c r="F46" s="191" t="str">
        <f t="shared" si="17"/>
        <v/>
      </c>
      <c r="G46" s="191" t="str">
        <f t="shared" si="17"/>
        <v/>
      </c>
      <c r="H46" s="191" t="str">
        <f t="shared" si="17"/>
        <v/>
      </c>
      <c r="I46" s="191" t="str">
        <f t="shared" si="17"/>
        <v/>
      </c>
      <c r="J46" s="191" t="str">
        <f t="shared" si="17"/>
        <v/>
      </c>
      <c r="K46" s="191" t="str">
        <f t="shared" si="17"/>
        <v/>
      </c>
      <c r="L46" s="191" t="str">
        <f t="shared" si="17"/>
        <v/>
      </c>
      <c r="M46" s="191" t="str">
        <f t="shared" si="17"/>
        <v/>
      </c>
      <c r="N46" s="48"/>
      <c r="O46" s="192">
        <f t="shared" si="14"/>
        <v>0</v>
      </c>
    </row>
    <row r="47" spans="1:17" outlineLevel="1">
      <c r="A47" s="47" t="s">
        <v>72</v>
      </c>
      <c r="B47" s="191">
        <f>(SUM(B40:B42))-(SUM(B43:B46))</f>
        <v>1214.3708569609007</v>
      </c>
      <c r="C47" s="191">
        <f>(SUM(C40:C42))-(SUM(C43:C45))</f>
        <v>1087.7341494865718</v>
      </c>
      <c r="D47" s="191">
        <f t="shared" ref="D47:M47" si="18">(SUM(D40:D42))-(SUM(D43:D45))</f>
        <v>1250.9776052428913</v>
      </c>
      <c r="E47" s="191">
        <f t="shared" si="18"/>
        <v>1224.3408977685626</v>
      </c>
      <c r="F47" s="191">
        <f t="shared" si="18"/>
        <v>1214.3708569609007</v>
      </c>
      <c r="G47" s="191">
        <f t="shared" si="18"/>
        <v>1274.3408977685626</v>
      </c>
      <c r="H47" s="191">
        <f t="shared" si="18"/>
        <v>1241.0075644352291</v>
      </c>
      <c r="I47" s="191">
        <f t="shared" si="18"/>
        <v>1191.0075644352291</v>
      </c>
      <c r="J47" s="191">
        <f t="shared" si="18"/>
        <v>1274.3408977685626</v>
      </c>
      <c r="K47" s="191">
        <f t="shared" si="18"/>
        <v>1197.7041902942342</v>
      </c>
      <c r="L47" s="191">
        <f t="shared" si="18"/>
        <v>1274.3408977685626</v>
      </c>
      <c r="M47" s="191">
        <f t="shared" si="18"/>
        <v>1334.3109385762245</v>
      </c>
      <c r="N47" s="48"/>
      <c r="O47" s="194">
        <f t="shared" si="14"/>
        <v>14778.847317466432</v>
      </c>
    </row>
    <row r="48" spans="1:17" ht="15.6">
      <c r="A48" s="7" t="s">
        <v>70</v>
      </c>
      <c r="B48" s="28">
        <f>'Trésorerie année 2'!M47</f>
        <v>1215.2723168443922</v>
      </c>
      <c r="C48" s="13">
        <f>IF(B47&gt;0,B47,0)</f>
        <v>1214.3708569609007</v>
      </c>
      <c r="D48" s="13">
        <f t="shared" ref="D48:M48" si="19">IF(C47&gt;0,C47,0)</f>
        <v>1087.7341494865718</v>
      </c>
      <c r="E48" s="13">
        <f t="shared" si="19"/>
        <v>1250.9776052428913</v>
      </c>
      <c r="F48" s="13">
        <f t="shared" si="19"/>
        <v>1224.3408977685626</v>
      </c>
      <c r="G48" s="13">
        <f t="shared" si="19"/>
        <v>1214.3708569609007</v>
      </c>
      <c r="H48" s="13">
        <f t="shared" si="19"/>
        <v>1274.3408977685626</v>
      </c>
      <c r="I48" s="13">
        <f t="shared" si="19"/>
        <v>1241.0075644352291</v>
      </c>
      <c r="J48" s="13">
        <f t="shared" si="19"/>
        <v>1191.0075644352291</v>
      </c>
      <c r="K48" s="13">
        <f t="shared" si="19"/>
        <v>1274.3408977685626</v>
      </c>
      <c r="L48" s="13">
        <f t="shared" si="19"/>
        <v>1197.7041902942342</v>
      </c>
      <c r="M48" s="13">
        <f t="shared" si="19"/>
        <v>1274.3408977685626</v>
      </c>
      <c r="N48" s="46"/>
      <c r="O48" s="193"/>
    </row>
    <row r="50" spans="1:15">
      <c r="A50" s="6" t="s">
        <v>48</v>
      </c>
      <c r="B50" s="11">
        <f>B12-(B16+B38+B48)</f>
        <v>-702.57974783132522</v>
      </c>
      <c r="C50" s="11">
        <f t="shared" ref="C50:M50" si="20">C12-(C16+C38+C48)</f>
        <v>779.71282913961477</v>
      </c>
      <c r="D50" s="11">
        <f t="shared" si="20"/>
        <v>2011.1612741139434</v>
      </c>
      <c r="E50" s="11">
        <f t="shared" si="20"/>
        <v>1646.3139058576307</v>
      </c>
      <c r="F50" s="11">
        <f t="shared" si="20"/>
        <v>1571.3467008319531</v>
      </c>
      <c r="G50" s="11">
        <f t="shared" si="20"/>
        <v>1982.9206541396197</v>
      </c>
      <c r="H50" s="11">
        <f t="shared" si="20"/>
        <v>1722.9506133319592</v>
      </c>
      <c r="I50" s="11">
        <f t="shared" si="20"/>
        <v>1456.2839466652913</v>
      </c>
      <c r="J50" s="11">
        <f t="shared" si="20"/>
        <v>2006.2839466652913</v>
      </c>
      <c r="K50" s="11">
        <f t="shared" si="20"/>
        <v>1421.3467008319531</v>
      </c>
      <c r="L50" s="11">
        <f t="shared" si="20"/>
        <v>1999.5873208062876</v>
      </c>
      <c r="M50" s="11">
        <f t="shared" si="20"/>
        <v>2324.5545258319544</v>
      </c>
      <c r="O50" s="190"/>
    </row>
    <row r="51" spans="1:15" ht="31.2">
      <c r="A51" s="188" t="s">
        <v>479</v>
      </c>
      <c r="B51" s="13">
        <f>B3+B50</f>
        <v>40626.030133442073</v>
      </c>
      <c r="C51" s="13">
        <f t="shared" ref="C51:M51" si="21">C3+C50</f>
        <v>41405.742962581688</v>
      </c>
      <c r="D51" s="13">
        <f t="shared" si="21"/>
        <v>43416.904236695627</v>
      </c>
      <c r="E51" s="13">
        <f t="shared" si="21"/>
        <v>45063.218142553262</v>
      </c>
      <c r="F51" s="13">
        <f t="shared" si="21"/>
        <v>46634.564843385218</v>
      </c>
      <c r="G51" s="13">
        <f t="shared" si="21"/>
        <v>48617.485497524838</v>
      </c>
      <c r="H51" s="13">
        <f t="shared" si="21"/>
        <v>50340.436110856797</v>
      </c>
      <c r="I51" s="13">
        <f t="shared" si="21"/>
        <v>51796.720057522092</v>
      </c>
      <c r="J51" s="13">
        <f t="shared" si="21"/>
        <v>53803.004004187387</v>
      </c>
      <c r="K51" s="13">
        <f t="shared" si="21"/>
        <v>55224.350705019344</v>
      </c>
      <c r="L51" s="13">
        <f t="shared" si="21"/>
        <v>57223.938025825628</v>
      </c>
      <c r="M51" s="13">
        <f t="shared" si="21"/>
        <v>59548.492551657582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2CBA5-F658-4BC3-8237-9F0F1D82F060}">
  <dimension ref="B1:H205"/>
  <sheetViews>
    <sheetView topLeftCell="A6" zoomScale="89" workbookViewId="0">
      <selection activeCell="H17" sqref="H17"/>
    </sheetView>
  </sheetViews>
  <sheetFormatPr baseColWidth="10" defaultRowHeight="15.6"/>
  <cols>
    <col min="1" max="1" width="4.21875" style="49" customWidth="1"/>
    <col min="2" max="2" width="8.6640625" style="49" bestFit="1" customWidth="1"/>
    <col min="3" max="3" width="103.109375" style="49" bestFit="1" customWidth="1"/>
    <col min="4" max="4" width="17.77734375" style="49" customWidth="1"/>
    <col min="5" max="5" width="19.44140625" style="49" customWidth="1"/>
    <col min="6" max="6" width="18.88671875" style="49" customWidth="1"/>
    <col min="7" max="16384" width="11.5546875" style="49"/>
  </cols>
  <sheetData>
    <row r="1" spans="2:7" ht="18">
      <c r="C1" s="113"/>
    </row>
    <row r="2" spans="2:7" ht="16.2" thickBot="1">
      <c r="C2" s="140" t="s">
        <v>481</v>
      </c>
    </row>
    <row r="3" spans="2:7" ht="16.2" customHeight="1" thickTop="1">
      <c r="B3" s="218" t="s">
        <v>326</v>
      </c>
      <c r="C3" s="219"/>
      <c r="D3" s="233" t="s">
        <v>392</v>
      </c>
      <c r="E3" s="234" t="s">
        <v>392</v>
      </c>
      <c r="F3" s="234" t="s">
        <v>392</v>
      </c>
    </row>
    <row r="4" spans="2:7" ht="15.6" customHeight="1">
      <c r="B4" s="220"/>
      <c r="C4" s="221"/>
      <c r="D4" s="233"/>
      <c r="E4" s="234"/>
      <c r="F4" s="234"/>
    </row>
    <row r="5" spans="2:7" ht="15.6" customHeight="1">
      <c r="B5" s="220"/>
      <c r="C5" s="221"/>
      <c r="D5" s="142">
        <f>'Trésorerie année 1'!B1</f>
        <v>2025</v>
      </c>
      <c r="E5" s="143">
        <f>D5+1</f>
        <v>2026</v>
      </c>
      <c r="F5" s="143">
        <f>E5+1</f>
        <v>2027</v>
      </c>
    </row>
    <row r="6" spans="2:7" ht="16.2" thickBot="1">
      <c r="B6" s="222"/>
      <c r="C6" s="223"/>
    </row>
    <row r="7" spans="2:7" ht="22.2" thickTop="1" thickBot="1">
      <c r="D7" s="144" t="s">
        <v>38</v>
      </c>
      <c r="E7" s="144" t="s">
        <v>38</v>
      </c>
      <c r="F7" s="144" t="s">
        <v>38</v>
      </c>
    </row>
    <row r="8" spans="2:7" ht="22.2" thickTop="1" thickBot="1">
      <c r="C8" s="50" t="s">
        <v>73</v>
      </c>
      <c r="D8" s="51">
        <f>SUM(D15,D42,D66,D100,D126,D142,D149,D160,D172,D176)</f>
        <v>180723.32226296372</v>
      </c>
      <c r="E8" s="51">
        <f>SUM(E15,E42,E66,E100,E126,E142,E149,E160,E172,E176)</f>
        <v>199901.12688608369</v>
      </c>
      <c r="F8" s="51">
        <f>SUM(F15,F42,F66,F100,F126,F142,F149,F160,F172,F176)</f>
        <v>217712.23643858905</v>
      </c>
    </row>
    <row r="9" spans="2:7" ht="22.2" thickTop="1" thickBot="1">
      <c r="C9" s="54" t="s">
        <v>74</v>
      </c>
      <c r="D9" s="55">
        <f>SUM(D183,D189,D190,D191,D192,D198,D202)</f>
        <v>186318.40909090909</v>
      </c>
      <c r="E9" s="55">
        <f>SUM(E183,E189,E190,E191,E192,E198,E202)</f>
        <v>215121.09375</v>
      </c>
      <c r="F9" s="55">
        <f>SUM(F183,F189,F190,F191,F192,F198,F202)</f>
        <v>237070.37812499999</v>
      </c>
    </row>
    <row r="10" spans="2:7" ht="22.2" thickTop="1" thickBot="1">
      <c r="C10" s="52" t="s">
        <v>75</v>
      </c>
      <c r="D10" s="53">
        <f>D9-D8-D11</f>
        <v>4755.8238037535657</v>
      </c>
      <c r="E10" s="53">
        <f t="shared" ref="E10:F10" si="0">E9-E8-E11</f>
        <v>12936.971834328866</v>
      </c>
      <c r="F10" s="53">
        <f t="shared" si="0"/>
        <v>16454.420433449293</v>
      </c>
    </row>
    <row r="11" spans="2:7" ht="18.600000000000001" thickTop="1">
      <c r="C11" s="216" t="s">
        <v>491</v>
      </c>
      <c r="D11" s="217">
        <f t="shared" ref="D11:F11" si="1">IF(D9-D8&gt;42500,((42500*0.15)+((D9-D8-42500)*0.25)),(D9-D8)*0.15)</f>
        <v>839.2630241918057</v>
      </c>
      <c r="E11" s="217">
        <f t="shared" si="1"/>
        <v>2282.9950295874469</v>
      </c>
      <c r="F11" s="217">
        <f t="shared" si="1"/>
        <v>2903.7212529616399</v>
      </c>
      <c r="G11" s="217"/>
    </row>
    <row r="12" spans="2:7">
      <c r="B12" s="224" t="s">
        <v>76</v>
      </c>
      <c r="C12" s="225"/>
      <c r="D12" s="230" t="s">
        <v>38</v>
      </c>
      <c r="E12" s="230" t="s">
        <v>38</v>
      </c>
      <c r="F12" s="230" t="s">
        <v>38</v>
      </c>
    </row>
    <row r="13" spans="2:7">
      <c r="B13" s="226"/>
      <c r="C13" s="227"/>
      <c r="D13" s="231"/>
      <c r="E13" s="231"/>
      <c r="F13" s="231"/>
    </row>
    <row r="14" spans="2:7">
      <c r="B14" s="228"/>
      <c r="C14" s="229"/>
      <c r="D14" s="232"/>
      <c r="E14" s="232"/>
      <c r="F14" s="232"/>
    </row>
    <row r="15" spans="2:7" ht="17.399999999999999">
      <c r="B15" s="56">
        <v>60</v>
      </c>
      <c r="C15" s="57" t="s">
        <v>77</v>
      </c>
      <c r="D15" s="58">
        <f>SUM(D16,D19,D20,D23,D34,D38,D39)</f>
        <v>80138.183728278062</v>
      </c>
      <c r="E15" s="58">
        <f>SUM(E16,E19,E20,E23,E34,E38,E39)</f>
        <v>93775.615657089264</v>
      </c>
      <c r="F15" s="58">
        <f>SUM(F16,F19,F20,F23,F34,F38,F39)</f>
        <v>105574.39594663311</v>
      </c>
    </row>
    <row r="16" spans="2:7">
      <c r="B16" s="59">
        <v>602</v>
      </c>
      <c r="C16" s="60" t="s">
        <v>78</v>
      </c>
      <c r="D16" s="61">
        <f>SUM(D17:D18)</f>
        <v>66021.558056872047</v>
      </c>
      <c r="E16" s="61">
        <f t="shared" ref="E16:F16" si="2">SUM(E17:E18)</f>
        <v>78236.450829383903</v>
      </c>
      <c r="F16" s="61">
        <f t="shared" si="2"/>
        <v>88448.825740521337</v>
      </c>
    </row>
    <row r="17" spans="2:6">
      <c r="B17" s="62">
        <v>602200</v>
      </c>
      <c r="C17" s="63" t="s">
        <v>363</v>
      </c>
      <c r="D17" s="64">
        <f>'Trésorerie année 1'!O18/1.055</f>
        <v>63085.30805687204</v>
      </c>
      <c r="E17" s="64">
        <f>'Trésorerie année 2'!O18/1.055</f>
        <v>75006.575829383903</v>
      </c>
      <c r="F17" s="64">
        <f>'Trésorerie année 3'!O18/1.055</f>
        <v>85057.456990521343</v>
      </c>
    </row>
    <row r="18" spans="2:6">
      <c r="B18" s="62">
        <v>602600</v>
      </c>
      <c r="C18" s="63" t="s">
        <v>20</v>
      </c>
      <c r="D18" s="64">
        <f>'Trésorerie année 1'!O19/1.2</f>
        <v>2936.25</v>
      </c>
      <c r="E18" s="64">
        <f>'Trésorerie année 2'!O19/1.2</f>
        <v>3229.875</v>
      </c>
      <c r="F18" s="64">
        <f>'Trésorerie année 3'!O19/1.2</f>
        <v>3391.3687500000005</v>
      </c>
    </row>
    <row r="19" spans="2:6">
      <c r="B19" s="59">
        <v>603</v>
      </c>
      <c r="C19" s="60" t="s">
        <v>364</v>
      </c>
      <c r="D19" s="61">
        <v>0</v>
      </c>
      <c r="E19" s="61">
        <v>0</v>
      </c>
      <c r="F19" s="61">
        <v>0</v>
      </c>
    </row>
    <row r="20" spans="2:6">
      <c r="B20" s="59">
        <v>604</v>
      </c>
      <c r="C20" s="60" t="s">
        <v>365</v>
      </c>
      <c r="D20" s="61">
        <f>SUM(D21:D22)</f>
        <v>1709.5500000000002</v>
      </c>
      <c r="E20" s="61">
        <f>SUM(E21:E22)</f>
        <v>1973.8125000000007</v>
      </c>
      <c r="F20" s="61">
        <f>SUM(F21:F22)</f>
        <v>2175.1862343750004</v>
      </c>
    </row>
    <row r="21" spans="2:6">
      <c r="B21" s="62">
        <v>604300</v>
      </c>
      <c r="C21" s="63" t="s">
        <v>366</v>
      </c>
      <c r="D21" s="64">
        <f>'Trésorerie année 1'!O26/1.2</f>
        <v>1709.5500000000002</v>
      </c>
      <c r="E21" s="64">
        <f>'Trésorerie année 2'!O26/1.2</f>
        <v>1973.8125000000007</v>
      </c>
      <c r="F21" s="64">
        <f>'Trésorerie année 3'!O26/1.2</f>
        <v>2175.1862343750004</v>
      </c>
    </row>
    <row r="22" spans="2:6">
      <c r="B22" s="62">
        <v>604400</v>
      </c>
      <c r="C22" s="63" t="s">
        <v>79</v>
      </c>
      <c r="D22" s="64">
        <v>0</v>
      </c>
      <c r="E22" s="64">
        <v>0</v>
      </c>
      <c r="F22" s="64">
        <v>0</v>
      </c>
    </row>
    <row r="23" spans="2:6">
      <c r="B23" s="59">
        <v>606</v>
      </c>
      <c r="C23" s="60" t="s">
        <v>80</v>
      </c>
      <c r="D23" s="61">
        <f>SUM(D24,D29,D32:D33)</f>
        <v>10334.166666666666</v>
      </c>
      <c r="E23" s="61">
        <f>SUM(E24,E29,E32:E33)</f>
        <v>11091.177083333336</v>
      </c>
      <c r="F23" s="61">
        <f>SUM(F24,F29,F32:F33)</f>
        <v>12140.512630208335</v>
      </c>
    </row>
    <row r="24" spans="2:6">
      <c r="B24" s="62">
        <v>606100</v>
      </c>
      <c r="C24" s="63" t="s">
        <v>367</v>
      </c>
      <c r="D24" s="64">
        <f>SUM(D25:D28)</f>
        <v>8917.5</v>
      </c>
      <c r="E24" s="64">
        <f t="shared" ref="E24:F24" si="3">SUM(E25:E28)</f>
        <v>10257.843750000002</v>
      </c>
      <c r="F24" s="64">
        <f t="shared" si="3"/>
        <v>11307.179296875001</v>
      </c>
    </row>
    <row r="25" spans="2:6">
      <c r="B25" s="65" t="s">
        <v>81</v>
      </c>
      <c r="C25" s="66" t="s">
        <v>368</v>
      </c>
      <c r="D25" s="67">
        <f>('Trésorerie année 1'!O22/3)/1.2</f>
        <v>2718.75</v>
      </c>
      <c r="E25" s="67">
        <f>('Trésorerie année 2'!O22/3)/1.2</f>
        <v>3140.1562500000005</v>
      </c>
      <c r="F25" s="67">
        <f>('Trésorerie année 3'!O22/3)/1.2</f>
        <v>3462.0222656250003</v>
      </c>
    </row>
    <row r="26" spans="2:6">
      <c r="B26" s="65" t="s">
        <v>82</v>
      </c>
      <c r="C26" s="66" t="s">
        <v>369</v>
      </c>
      <c r="D26" s="67">
        <f>('Trésorerie année 1'!O22/3)/1.2</f>
        <v>2718.75</v>
      </c>
      <c r="E26" s="67">
        <f>('Trésorerie année 2'!O22/3)/1.2</f>
        <v>3140.1562500000005</v>
      </c>
      <c r="F26" s="67">
        <f>('Trésorerie année 3'!O22/3)/1.2</f>
        <v>3462.0222656250003</v>
      </c>
    </row>
    <row r="27" spans="2:6">
      <c r="B27" s="65" t="s">
        <v>83</v>
      </c>
      <c r="C27" s="66" t="s">
        <v>370</v>
      </c>
      <c r="D27" s="67">
        <f>('Trésorerie année 1'!O22/3)/1.2</f>
        <v>2718.75</v>
      </c>
      <c r="E27" s="67">
        <f>('Trésorerie année 2'!O22/3)/1.2</f>
        <v>3140.1562500000005</v>
      </c>
      <c r="F27" s="67">
        <f>('Trésorerie année 3'!O22/3)/1.2</f>
        <v>3462.0222656250003</v>
      </c>
    </row>
    <row r="28" spans="2:6">
      <c r="B28" s="65" t="s">
        <v>84</v>
      </c>
      <c r="C28" s="66" t="s">
        <v>21</v>
      </c>
      <c r="D28" s="67">
        <f>('Trésorerie année 1'!O20)/1.2</f>
        <v>761.25000000000011</v>
      </c>
      <c r="E28" s="67">
        <f>('Trésorerie année 2'!O20)/1.2</f>
        <v>837.37500000000011</v>
      </c>
      <c r="F28" s="67">
        <f>('Trésorerie année 3'!O20)/1.2</f>
        <v>921.11250000000041</v>
      </c>
    </row>
    <row r="29" spans="2:6">
      <c r="B29" s="62" t="s">
        <v>85</v>
      </c>
      <c r="C29" s="63" t="s">
        <v>86</v>
      </c>
      <c r="D29" s="64">
        <f>SUM(D30:D31)</f>
        <v>0</v>
      </c>
      <c r="E29" s="64">
        <f>SUM(E30:E31)</f>
        <v>0</v>
      </c>
      <c r="F29" s="64">
        <f>SUM(F30:F31)</f>
        <v>0</v>
      </c>
    </row>
    <row r="30" spans="2:6">
      <c r="B30" s="68">
        <v>606310</v>
      </c>
      <c r="C30" s="66" t="s">
        <v>371</v>
      </c>
      <c r="D30" s="67">
        <v>0</v>
      </c>
      <c r="E30" s="67">
        <v>0</v>
      </c>
      <c r="F30" s="67">
        <v>0</v>
      </c>
    </row>
    <row r="31" spans="2:6">
      <c r="B31" s="65" t="s">
        <v>87</v>
      </c>
      <c r="C31" s="66" t="s">
        <v>372</v>
      </c>
      <c r="D31" s="67">
        <v>0</v>
      </c>
      <c r="E31" s="67">
        <v>0</v>
      </c>
      <c r="F31" s="67">
        <v>0</v>
      </c>
    </row>
    <row r="32" spans="2:6">
      <c r="B32" s="62">
        <v>606400</v>
      </c>
      <c r="C32" s="63" t="s">
        <v>88</v>
      </c>
      <c r="D32" s="64">
        <v>0</v>
      </c>
      <c r="E32" s="64">
        <v>0</v>
      </c>
      <c r="F32" s="64">
        <v>0</v>
      </c>
    </row>
    <row r="33" spans="2:6">
      <c r="B33" s="62">
        <v>606800</v>
      </c>
      <c r="C33" s="63" t="s">
        <v>391</v>
      </c>
      <c r="D33" s="64">
        <f>('Trésorerie année 1'!O27)/1.2</f>
        <v>1416.6666666666667</v>
      </c>
      <c r="E33" s="64">
        <f>('Trésorerie année 2'!O27)/1.2</f>
        <v>833.33333333333337</v>
      </c>
      <c r="F33" s="64">
        <f>('Trésorerie année 3'!O27)/1.2</f>
        <v>833.33333333333337</v>
      </c>
    </row>
    <row r="34" spans="2:6">
      <c r="B34" s="59">
        <v>607</v>
      </c>
      <c r="C34" s="60" t="s">
        <v>89</v>
      </c>
      <c r="D34" s="61">
        <f>SUM(D35:D37)</f>
        <v>2072.9090047393365</v>
      </c>
      <c r="E34" s="61">
        <f>SUM(E35:E37)</f>
        <v>2474.1752443720384</v>
      </c>
      <c r="F34" s="61">
        <f>SUM(F35:F37)</f>
        <v>2809.8713415284374</v>
      </c>
    </row>
    <row r="35" spans="2:6">
      <c r="B35" s="62">
        <v>607100</v>
      </c>
      <c r="C35" s="63" t="s">
        <v>373</v>
      </c>
      <c r="D35" s="64">
        <f>('Trésorerie année 1'!O21*0.25)/1.2</f>
        <v>469.8</v>
      </c>
      <c r="E35" s="64">
        <f>('Trésorerie année 2'!O21*0.25)/1.2</f>
        <v>560.74218750000011</v>
      </c>
      <c r="F35" s="64">
        <f>('Trésorerie année 3'!O21*0.25)/1.2</f>
        <v>636.82368750000023</v>
      </c>
    </row>
    <row r="36" spans="2:6">
      <c r="B36" s="62">
        <v>607200</v>
      </c>
      <c r="C36" s="63" t="s">
        <v>374</v>
      </c>
      <c r="D36" s="64">
        <v>0</v>
      </c>
      <c r="E36" s="64">
        <v>0</v>
      </c>
      <c r="F36" s="64">
        <v>0</v>
      </c>
    </row>
    <row r="37" spans="2:6">
      <c r="B37" s="62">
        <v>607310</v>
      </c>
      <c r="C37" s="63" t="s">
        <v>375</v>
      </c>
      <c r="D37" s="64">
        <f>('Trésorerie année 1'!O21*0.75)/1.055</f>
        <v>1603.1090047393366</v>
      </c>
      <c r="E37" s="64">
        <f>('Trésorerie année 2'!O21*0.75)/1.055</f>
        <v>1913.4330568720384</v>
      </c>
      <c r="F37" s="64">
        <f>('Trésorerie année 3'!O21*0.75)/1.055</f>
        <v>2173.0476540284371</v>
      </c>
    </row>
    <row r="38" spans="2:6">
      <c r="B38" s="69">
        <v>608</v>
      </c>
      <c r="C38" s="60" t="s">
        <v>90</v>
      </c>
      <c r="D38" s="61">
        <v>0</v>
      </c>
      <c r="E38" s="61">
        <v>0</v>
      </c>
      <c r="F38" s="61">
        <v>0</v>
      </c>
    </row>
    <row r="39" spans="2:6">
      <c r="B39" s="59">
        <v>609</v>
      </c>
      <c r="C39" s="60" t="s">
        <v>91</v>
      </c>
      <c r="D39" s="61">
        <f>SUM(D40:D41)</f>
        <v>0</v>
      </c>
      <c r="E39" s="61">
        <f>SUM(E40:E41)</f>
        <v>0</v>
      </c>
      <c r="F39" s="61">
        <f>SUM(F40:F41)</f>
        <v>0</v>
      </c>
    </row>
    <row r="40" spans="2:6">
      <c r="B40" s="62">
        <v>609400</v>
      </c>
      <c r="C40" s="63" t="s">
        <v>377</v>
      </c>
      <c r="D40" s="64">
        <v>0</v>
      </c>
      <c r="E40" s="64">
        <v>0</v>
      </c>
      <c r="F40" s="64">
        <v>0</v>
      </c>
    </row>
    <row r="41" spans="2:6">
      <c r="B41" s="62">
        <v>609700</v>
      </c>
      <c r="C41" s="63" t="s">
        <v>376</v>
      </c>
      <c r="D41" s="64">
        <v>0</v>
      </c>
      <c r="E41" s="64">
        <v>0</v>
      </c>
      <c r="F41" s="64">
        <v>0</v>
      </c>
    </row>
    <row r="42" spans="2:6" ht="17.399999999999999">
      <c r="B42" s="70">
        <v>61</v>
      </c>
      <c r="C42" s="71" t="s">
        <v>92</v>
      </c>
      <c r="D42" s="58">
        <f>SUM(D43,D44,D47,D50,D51,D56,D60,D61,D65)</f>
        <v>10200</v>
      </c>
      <c r="E42" s="58">
        <f>SUM(E43,E44,E47,E50,E51,E56,E60,E61,E65)</f>
        <v>10200</v>
      </c>
      <c r="F42" s="58">
        <f>SUM(F43,F44,F47,F50,F51,F56,F60,F61,F65)</f>
        <v>10200</v>
      </c>
    </row>
    <row r="43" spans="2:6">
      <c r="B43" s="59">
        <v>611</v>
      </c>
      <c r="C43" s="60" t="s">
        <v>378</v>
      </c>
      <c r="D43" s="61">
        <v>0</v>
      </c>
      <c r="E43" s="61">
        <v>0</v>
      </c>
      <c r="F43" s="61">
        <v>0</v>
      </c>
    </row>
    <row r="44" spans="2:6">
      <c r="B44" s="59">
        <v>612</v>
      </c>
      <c r="C44" s="60" t="s">
        <v>93</v>
      </c>
      <c r="D44" s="61">
        <f>SUM(D45:D46)</f>
        <v>0</v>
      </c>
      <c r="E44" s="61">
        <f>SUM(E45:E46)</f>
        <v>0</v>
      </c>
      <c r="F44" s="61">
        <f>SUM(F45:F46)</f>
        <v>0</v>
      </c>
    </row>
    <row r="45" spans="2:6">
      <c r="B45" s="72" t="s">
        <v>94</v>
      </c>
      <c r="C45" s="73" t="s">
        <v>95</v>
      </c>
      <c r="D45" s="74">
        <v>0</v>
      </c>
      <c r="E45" s="64">
        <v>0</v>
      </c>
      <c r="F45" s="64">
        <v>0</v>
      </c>
    </row>
    <row r="46" spans="2:6">
      <c r="B46" s="72" t="s">
        <v>96</v>
      </c>
      <c r="C46" s="73" t="s">
        <v>97</v>
      </c>
      <c r="D46" s="74">
        <v>0</v>
      </c>
      <c r="E46" s="64">
        <v>0</v>
      </c>
      <c r="F46" s="64">
        <v>0</v>
      </c>
    </row>
    <row r="47" spans="2:6">
      <c r="B47" s="59">
        <v>613</v>
      </c>
      <c r="C47" s="60" t="s">
        <v>98</v>
      </c>
      <c r="D47" s="61">
        <f>SUM(D48,D49)</f>
        <v>6000</v>
      </c>
      <c r="E47" s="61">
        <f>SUM(E48,E49)</f>
        <v>6000</v>
      </c>
      <c r="F47" s="61">
        <f>SUM(F48,F49)</f>
        <v>6000</v>
      </c>
    </row>
    <row r="48" spans="2:6">
      <c r="B48" s="62" t="s">
        <v>99</v>
      </c>
      <c r="C48" s="63" t="s">
        <v>100</v>
      </c>
      <c r="D48" s="64">
        <f>'Trésorerie année 1'!O24</f>
        <v>6000</v>
      </c>
      <c r="E48" s="64">
        <f>'Trésorerie année 2'!O24</f>
        <v>6000</v>
      </c>
      <c r="F48" s="64">
        <f>'Trésorerie année 3'!O24</f>
        <v>6000</v>
      </c>
    </row>
    <row r="49" spans="2:6">
      <c r="B49" s="62" t="s">
        <v>101</v>
      </c>
      <c r="C49" s="63" t="s">
        <v>102</v>
      </c>
      <c r="D49" s="64">
        <v>0</v>
      </c>
      <c r="E49" s="64">
        <v>0</v>
      </c>
      <c r="F49" s="64">
        <v>0</v>
      </c>
    </row>
    <row r="50" spans="2:6">
      <c r="B50" s="59">
        <v>614</v>
      </c>
      <c r="C50" s="60" t="s">
        <v>103</v>
      </c>
      <c r="D50" s="61">
        <v>0</v>
      </c>
      <c r="E50" s="61">
        <v>0</v>
      </c>
      <c r="F50" s="61">
        <v>0</v>
      </c>
    </row>
    <row r="51" spans="2:6">
      <c r="B51" s="59">
        <v>615</v>
      </c>
      <c r="C51" s="60" t="s">
        <v>104</v>
      </c>
      <c r="D51" s="61">
        <f>SUM(D52:D55)</f>
        <v>1500</v>
      </c>
      <c r="E51" s="61">
        <f>SUM(E52:E55)</f>
        <v>1500</v>
      </c>
      <c r="F51" s="61">
        <f>SUM(F52:F55)</f>
        <v>1500</v>
      </c>
    </row>
    <row r="52" spans="2:6">
      <c r="B52" s="62">
        <v>615200</v>
      </c>
      <c r="C52" s="63" t="s">
        <v>379</v>
      </c>
      <c r="D52" s="64">
        <v>0</v>
      </c>
      <c r="E52" s="64">
        <v>0</v>
      </c>
      <c r="F52" s="64">
        <v>0</v>
      </c>
    </row>
    <row r="53" spans="2:6">
      <c r="B53" s="62" t="s">
        <v>105</v>
      </c>
      <c r="C53" s="63" t="s">
        <v>106</v>
      </c>
      <c r="D53" s="64">
        <f>('Trésorerie année 1'!O28/2)/1.2</f>
        <v>750</v>
      </c>
      <c r="E53" s="64">
        <f>('Trésorerie année 2'!O28/2)/1.2</f>
        <v>750</v>
      </c>
      <c r="F53" s="64">
        <f>('Trésorerie année 3'!O28/2)/1.2</f>
        <v>750</v>
      </c>
    </row>
    <row r="54" spans="2:6">
      <c r="B54" s="62" t="s">
        <v>107</v>
      </c>
      <c r="C54" s="63" t="s">
        <v>108</v>
      </c>
      <c r="D54" s="64">
        <f>('Trésorerie année 1'!O28/2)/1.2</f>
        <v>750</v>
      </c>
      <c r="E54" s="64">
        <f>('Trésorerie année 2'!O28/2)/1.2</f>
        <v>750</v>
      </c>
      <c r="F54" s="64">
        <f>('Trésorerie année 3'!O28/2)/1.2</f>
        <v>750</v>
      </c>
    </row>
    <row r="55" spans="2:6">
      <c r="B55" s="62" t="s">
        <v>109</v>
      </c>
      <c r="C55" s="63" t="s">
        <v>110</v>
      </c>
      <c r="D55" s="64">
        <v>0</v>
      </c>
      <c r="E55" s="64">
        <v>0</v>
      </c>
      <c r="F55" s="64">
        <v>0</v>
      </c>
    </row>
    <row r="56" spans="2:6">
      <c r="B56" s="59">
        <v>616</v>
      </c>
      <c r="C56" s="60" t="s">
        <v>111</v>
      </c>
      <c r="D56" s="61">
        <f>SUM(D57:D59)</f>
        <v>2700</v>
      </c>
      <c r="E56" s="61">
        <f>SUM(E57:E59)</f>
        <v>2700</v>
      </c>
      <c r="F56" s="61">
        <f>SUM(F57:F59)</f>
        <v>2700</v>
      </c>
    </row>
    <row r="57" spans="2:6">
      <c r="B57" s="62">
        <v>616100</v>
      </c>
      <c r="C57" s="63" t="s">
        <v>112</v>
      </c>
      <c r="D57" s="64">
        <f>'Trésorerie année 1'!O29/3</f>
        <v>900</v>
      </c>
      <c r="E57" s="64">
        <f>'Trésorerie année 2'!O29/3</f>
        <v>900</v>
      </c>
      <c r="F57" s="64">
        <f>'Trésorerie année 3'!O29/3</f>
        <v>900</v>
      </c>
    </row>
    <row r="58" spans="2:6">
      <c r="B58" s="62">
        <v>616300</v>
      </c>
      <c r="C58" s="63" t="s">
        <v>380</v>
      </c>
      <c r="D58" s="64">
        <f>'Trésorerie année 1'!O29/3</f>
        <v>900</v>
      </c>
      <c r="E58" s="64">
        <f>'Trésorerie année 2'!O29/3</f>
        <v>900</v>
      </c>
      <c r="F58" s="64">
        <f>'Trésorerie année 3'!O29/3</f>
        <v>900</v>
      </c>
    </row>
    <row r="59" spans="2:6">
      <c r="B59" s="62">
        <v>616400</v>
      </c>
      <c r="C59" s="63" t="s">
        <v>113</v>
      </c>
      <c r="D59" s="64">
        <f>'Trésorerie année 1'!O29/3</f>
        <v>900</v>
      </c>
      <c r="E59" s="64">
        <f>'Trésorerie année 2'!O29/3</f>
        <v>900</v>
      </c>
      <c r="F59" s="64">
        <f>'Trésorerie année 3'!O29/3</f>
        <v>900</v>
      </c>
    </row>
    <row r="60" spans="2:6">
      <c r="B60" s="59">
        <v>617</v>
      </c>
      <c r="C60" s="60" t="s">
        <v>114</v>
      </c>
      <c r="D60" s="61">
        <v>0</v>
      </c>
      <c r="E60" s="61">
        <v>0</v>
      </c>
      <c r="F60" s="61">
        <v>0</v>
      </c>
    </row>
    <row r="61" spans="2:6">
      <c r="B61" s="59">
        <v>618</v>
      </c>
      <c r="C61" s="60" t="s">
        <v>115</v>
      </c>
      <c r="D61" s="61">
        <f>SUM(D62:D64)</f>
        <v>0</v>
      </c>
      <c r="E61" s="61">
        <f>SUM(E62:E64)</f>
        <v>0</v>
      </c>
      <c r="F61" s="61">
        <f>SUM(F62:F64)</f>
        <v>0</v>
      </c>
    </row>
    <row r="62" spans="2:6">
      <c r="B62" s="62">
        <v>618100</v>
      </c>
      <c r="C62" s="63" t="s">
        <v>381</v>
      </c>
      <c r="D62" s="64">
        <v>0</v>
      </c>
      <c r="E62" s="64">
        <v>0</v>
      </c>
      <c r="F62" s="64">
        <v>0</v>
      </c>
    </row>
    <row r="63" spans="2:6">
      <c r="B63" s="62" t="s">
        <v>116</v>
      </c>
      <c r="C63" s="63" t="s">
        <v>117</v>
      </c>
      <c r="D63" s="64">
        <v>0</v>
      </c>
      <c r="E63" s="64">
        <v>0</v>
      </c>
      <c r="F63" s="64">
        <v>0</v>
      </c>
    </row>
    <row r="64" spans="2:6">
      <c r="B64" s="62" t="s">
        <v>118</v>
      </c>
      <c r="C64" s="63" t="s">
        <v>382</v>
      </c>
      <c r="D64" s="64">
        <v>0</v>
      </c>
      <c r="E64" s="64">
        <v>0</v>
      </c>
      <c r="F64" s="64">
        <v>0</v>
      </c>
    </row>
    <row r="65" spans="2:6">
      <c r="B65" s="69">
        <v>619</v>
      </c>
      <c r="C65" s="60" t="s">
        <v>119</v>
      </c>
      <c r="D65" s="61">
        <v>0</v>
      </c>
      <c r="E65" s="61">
        <v>0</v>
      </c>
      <c r="F65" s="61">
        <v>0</v>
      </c>
    </row>
    <row r="66" spans="2:6" ht="17.399999999999999">
      <c r="B66" s="70">
        <v>62</v>
      </c>
      <c r="C66" s="71" t="s">
        <v>120</v>
      </c>
      <c r="D66" s="58">
        <f>SUM(D67,D68,D77,D83,D87,D92,D95,D96,D99)</f>
        <v>2153.3333333333335</v>
      </c>
      <c r="E66" s="58">
        <f>SUM(E67,E68,E77,E83,E87,E92,E95,E96,E99)</f>
        <v>2153.3333333333335</v>
      </c>
      <c r="F66" s="58">
        <f>SUM(F67,F68,F77,F83,F87,F92,F95,F96,F99)</f>
        <v>2153.3333333333335</v>
      </c>
    </row>
    <row r="67" spans="2:6">
      <c r="B67" s="59">
        <v>621</v>
      </c>
      <c r="C67" s="60" t="s">
        <v>121</v>
      </c>
      <c r="D67" s="61">
        <v>0</v>
      </c>
      <c r="E67" s="61">
        <v>0</v>
      </c>
      <c r="F67" s="61">
        <v>0</v>
      </c>
    </row>
    <row r="68" spans="2:6">
      <c r="B68" s="59">
        <v>622</v>
      </c>
      <c r="C68" s="60" t="s">
        <v>122</v>
      </c>
      <c r="D68" s="61">
        <f>SUM(D69:D72,D75:D76)</f>
        <v>1000</v>
      </c>
      <c r="E68" s="61">
        <f>SUM(E69:E72,E75:E76)</f>
        <v>1000</v>
      </c>
      <c r="F68" s="61">
        <f>SUM(F69:F72,F75:F76)</f>
        <v>1000</v>
      </c>
    </row>
    <row r="69" spans="2:6">
      <c r="B69" s="62">
        <v>622100</v>
      </c>
      <c r="C69" s="63" t="s">
        <v>123</v>
      </c>
      <c r="D69" s="64">
        <v>0</v>
      </c>
      <c r="E69" s="64">
        <v>0</v>
      </c>
      <c r="F69" s="64">
        <v>0</v>
      </c>
    </row>
    <row r="70" spans="2:6">
      <c r="B70" s="62">
        <v>622200</v>
      </c>
      <c r="C70" s="63" t="s">
        <v>124</v>
      </c>
      <c r="D70" s="64">
        <v>0</v>
      </c>
      <c r="E70" s="64">
        <v>0</v>
      </c>
      <c r="F70" s="64">
        <v>0</v>
      </c>
    </row>
    <row r="71" spans="2:6">
      <c r="B71" s="62" t="s">
        <v>125</v>
      </c>
      <c r="C71" s="63" t="s">
        <v>126</v>
      </c>
      <c r="D71" s="64">
        <v>0</v>
      </c>
      <c r="E71" s="64">
        <v>0</v>
      </c>
      <c r="F71" s="64">
        <v>0</v>
      </c>
    </row>
    <row r="72" spans="2:6">
      <c r="B72" s="62" t="s">
        <v>127</v>
      </c>
      <c r="C72" s="63" t="s">
        <v>128</v>
      </c>
      <c r="D72" s="64">
        <f>SUM(D73:D74)</f>
        <v>1000</v>
      </c>
      <c r="E72" s="64">
        <f>SUM(E73:E74)</f>
        <v>1000</v>
      </c>
      <c r="F72" s="64">
        <f>SUM(F73:F74)</f>
        <v>1000</v>
      </c>
    </row>
    <row r="73" spans="2:6">
      <c r="B73" s="65">
        <v>622631</v>
      </c>
      <c r="C73" s="66" t="s">
        <v>129</v>
      </c>
      <c r="D73" s="67">
        <f>('Trésorerie année 1'!O31)/1.2</f>
        <v>1000</v>
      </c>
      <c r="E73" s="67">
        <f>('Trésorerie année 2'!O31)/1.2</f>
        <v>1000</v>
      </c>
      <c r="F73" s="67">
        <f>('Trésorerie année 3'!O31)/1.2</f>
        <v>1000</v>
      </c>
    </row>
    <row r="74" spans="2:6">
      <c r="B74" s="65" t="s">
        <v>130</v>
      </c>
      <c r="C74" s="66" t="s">
        <v>131</v>
      </c>
      <c r="D74" s="67">
        <v>0</v>
      </c>
      <c r="E74" s="67">
        <v>0</v>
      </c>
      <c r="F74" s="67">
        <v>0</v>
      </c>
    </row>
    <row r="75" spans="2:6">
      <c r="B75" s="62">
        <v>622700</v>
      </c>
      <c r="C75" s="63" t="s">
        <v>132</v>
      </c>
      <c r="D75" s="64">
        <v>0</v>
      </c>
      <c r="E75" s="64">
        <v>0</v>
      </c>
      <c r="F75" s="64">
        <v>0</v>
      </c>
    </row>
    <row r="76" spans="2:6">
      <c r="B76" s="62">
        <v>622800</v>
      </c>
      <c r="C76" s="63" t="s">
        <v>133</v>
      </c>
      <c r="D76" s="64">
        <v>0</v>
      </c>
      <c r="E76" s="64">
        <v>0</v>
      </c>
      <c r="F76" s="64">
        <v>0</v>
      </c>
    </row>
    <row r="77" spans="2:6">
      <c r="B77" s="59">
        <v>623</v>
      </c>
      <c r="C77" s="60" t="s">
        <v>134</v>
      </c>
      <c r="D77" s="61">
        <f>SUM(D78:D82)</f>
        <v>833.33333333333337</v>
      </c>
      <c r="E77" s="61">
        <f>SUM(E78:E82)</f>
        <v>833.33333333333337</v>
      </c>
      <c r="F77" s="61">
        <f>SUM(F78:F82)</f>
        <v>833.33333333333337</v>
      </c>
    </row>
    <row r="78" spans="2:6">
      <c r="B78" s="62" t="s">
        <v>135</v>
      </c>
      <c r="C78" s="63" t="s">
        <v>136</v>
      </c>
      <c r="D78" s="64">
        <v>0</v>
      </c>
      <c r="E78" s="64">
        <v>0</v>
      </c>
      <c r="F78" s="64">
        <v>0</v>
      </c>
    </row>
    <row r="79" spans="2:6">
      <c r="B79" s="62" t="s">
        <v>137</v>
      </c>
      <c r="C79" s="63" t="s">
        <v>138</v>
      </c>
      <c r="D79" s="64">
        <v>0</v>
      </c>
      <c r="E79" s="64">
        <v>0</v>
      </c>
      <c r="F79" s="64">
        <v>0</v>
      </c>
    </row>
    <row r="80" spans="2:6">
      <c r="B80" s="62" t="s">
        <v>139</v>
      </c>
      <c r="C80" s="63" t="s">
        <v>140</v>
      </c>
      <c r="D80" s="64">
        <v>0</v>
      </c>
      <c r="E80" s="64">
        <v>0</v>
      </c>
      <c r="F80" s="64">
        <v>0</v>
      </c>
    </row>
    <row r="81" spans="2:6">
      <c r="B81" s="62" t="s">
        <v>141</v>
      </c>
      <c r="C81" s="63" t="s">
        <v>142</v>
      </c>
      <c r="D81" s="64">
        <f>'Trésorerie année 1'!O30/1.2</f>
        <v>833.33333333333337</v>
      </c>
      <c r="E81" s="64">
        <f>'Trésorerie année 2'!O30/1.2</f>
        <v>833.33333333333337</v>
      </c>
      <c r="F81" s="64">
        <f>'Trésorerie année 3'!O30/1.2</f>
        <v>833.33333333333337</v>
      </c>
    </row>
    <row r="82" spans="2:6">
      <c r="B82" s="62">
        <v>623800</v>
      </c>
      <c r="C82" s="63" t="s">
        <v>143</v>
      </c>
      <c r="D82" s="64">
        <v>0</v>
      </c>
      <c r="E82" s="64">
        <v>0</v>
      </c>
      <c r="F82" s="64">
        <v>0</v>
      </c>
    </row>
    <row r="83" spans="2:6">
      <c r="B83" s="59">
        <v>624</v>
      </c>
      <c r="C83" s="60" t="s">
        <v>144</v>
      </c>
      <c r="D83" s="61">
        <f>SUM(D84:D86)</f>
        <v>0</v>
      </c>
      <c r="E83" s="61">
        <f>SUM(E84:E86)</f>
        <v>0</v>
      </c>
      <c r="F83" s="61">
        <f>SUM(F84:F86)</f>
        <v>0</v>
      </c>
    </row>
    <row r="84" spans="2:6">
      <c r="B84" s="62">
        <v>624100</v>
      </c>
      <c r="C84" s="63" t="s">
        <v>145</v>
      </c>
      <c r="D84" s="64">
        <v>0</v>
      </c>
      <c r="E84" s="64">
        <v>0</v>
      </c>
      <c r="F84" s="64">
        <v>0</v>
      </c>
    </row>
    <row r="85" spans="2:6">
      <c r="B85" s="62">
        <v>624200</v>
      </c>
      <c r="C85" s="63" t="s">
        <v>146</v>
      </c>
      <c r="D85" s="64">
        <v>0</v>
      </c>
      <c r="E85" s="64">
        <v>0</v>
      </c>
      <c r="F85" s="64">
        <v>0</v>
      </c>
    </row>
    <row r="86" spans="2:6">
      <c r="B86" s="62" t="s">
        <v>147</v>
      </c>
      <c r="C86" s="63" t="s">
        <v>148</v>
      </c>
      <c r="D86" s="64">
        <v>0</v>
      </c>
      <c r="E86" s="64">
        <v>0</v>
      </c>
      <c r="F86" s="64">
        <v>0</v>
      </c>
    </row>
    <row r="87" spans="2:6">
      <c r="B87" s="59">
        <v>625</v>
      </c>
      <c r="C87" s="60" t="s">
        <v>149</v>
      </c>
      <c r="D87" s="61">
        <f>SUM(D88:D88,D89:D91)</f>
        <v>0</v>
      </c>
      <c r="E87" s="61">
        <f t="shared" ref="E87:F87" si="4">SUM(E88:E88,E89:E91)</f>
        <v>0</v>
      </c>
      <c r="F87" s="61">
        <f t="shared" si="4"/>
        <v>0</v>
      </c>
    </row>
    <row r="88" spans="2:6">
      <c r="B88" s="62">
        <v>625100</v>
      </c>
      <c r="C88" s="63" t="s">
        <v>383</v>
      </c>
      <c r="D88" s="64">
        <v>0</v>
      </c>
      <c r="E88" s="64">
        <v>0</v>
      </c>
      <c r="F88" s="64">
        <v>0</v>
      </c>
    </row>
    <row r="89" spans="2:6">
      <c r="B89" s="62" t="s">
        <v>150</v>
      </c>
      <c r="C89" s="63" t="s">
        <v>151</v>
      </c>
      <c r="D89" s="64">
        <v>0</v>
      </c>
      <c r="E89" s="64">
        <v>0</v>
      </c>
      <c r="F89" s="64">
        <v>0</v>
      </c>
    </row>
    <row r="90" spans="2:6">
      <c r="B90" s="62" t="s">
        <v>152</v>
      </c>
      <c r="C90" s="63" t="s">
        <v>153</v>
      </c>
      <c r="D90" s="64">
        <v>0</v>
      </c>
      <c r="E90" s="64">
        <v>0</v>
      </c>
      <c r="F90" s="64">
        <v>0</v>
      </c>
    </row>
    <row r="91" spans="2:6">
      <c r="B91" s="62" t="s">
        <v>154</v>
      </c>
      <c r="C91" s="63" t="s">
        <v>384</v>
      </c>
      <c r="D91" s="64">
        <v>0</v>
      </c>
      <c r="E91" s="64">
        <v>0</v>
      </c>
      <c r="F91" s="64">
        <v>0</v>
      </c>
    </row>
    <row r="92" spans="2:6">
      <c r="B92" s="59">
        <v>626</v>
      </c>
      <c r="C92" s="60" t="s">
        <v>155</v>
      </c>
      <c r="D92" s="61">
        <f>SUM(D93:D94)</f>
        <v>200</v>
      </c>
      <c r="E92" s="61">
        <f t="shared" ref="E92:F92" si="5">SUM(E93:E94)</f>
        <v>200</v>
      </c>
      <c r="F92" s="61">
        <f t="shared" si="5"/>
        <v>200</v>
      </c>
    </row>
    <row r="93" spans="2:6">
      <c r="B93" s="62">
        <v>626100</v>
      </c>
      <c r="C93" s="63" t="s">
        <v>156</v>
      </c>
      <c r="D93" s="64">
        <v>0</v>
      </c>
      <c r="E93" s="64">
        <v>0</v>
      </c>
      <c r="F93" s="64">
        <v>0</v>
      </c>
    </row>
    <row r="94" spans="2:6">
      <c r="B94" s="62">
        <v>626200</v>
      </c>
      <c r="C94" s="63" t="s">
        <v>157</v>
      </c>
      <c r="D94" s="64">
        <f>('Trésorerie année 1'!O25)/1.2</f>
        <v>200</v>
      </c>
      <c r="E94" s="64">
        <f>('Trésorerie année 2'!O25)/1.2</f>
        <v>200</v>
      </c>
      <c r="F94" s="64">
        <f>('Trésorerie année 3'!O25)/1.2</f>
        <v>200</v>
      </c>
    </row>
    <row r="95" spans="2:6">
      <c r="B95" s="59">
        <v>627</v>
      </c>
      <c r="C95" s="60" t="s">
        <v>158</v>
      </c>
      <c r="D95" s="61">
        <f>'Trésorerie année 1'!O35</f>
        <v>120</v>
      </c>
      <c r="E95" s="61">
        <f>'Trésorerie année 2'!O35</f>
        <v>120</v>
      </c>
      <c r="F95" s="61">
        <f>'Trésorerie année 3'!O35</f>
        <v>120</v>
      </c>
    </row>
    <row r="96" spans="2:6">
      <c r="B96" s="59">
        <v>628</v>
      </c>
      <c r="C96" s="60" t="s">
        <v>115</v>
      </c>
      <c r="D96" s="61">
        <f>SUM(D97,D98)</f>
        <v>0</v>
      </c>
      <c r="E96" s="61">
        <f t="shared" ref="E96:F96" si="6">SUM(E97,E98)</f>
        <v>0</v>
      </c>
      <c r="F96" s="61">
        <f t="shared" si="6"/>
        <v>0</v>
      </c>
    </row>
    <row r="97" spans="2:6">
      <c r="B97" s="62" t="s">
        <v>159</v>
      </c>
      <c r="C97" s="63" t="s">
        <v>385</v>
      </c>
      <c r="D97" s="64">
        <v>0</v>
      </c>
      <c r="E97" s="64">
        <v>0</v>
      </c>
      <c r="F97" s="64">
        <v>0</v>
      </c>
    </row>
    <row r="98" spans="2:6">
      <c r="B98" s="62" t="s">
        <v>160</v>
      </c>
      <c r="C98" s="63" t="s">
        <v>386</v>
      </c>
      <c r="D98" s="64">
        <v>0</v>
      </c>
      <c r="E98" s="64">
        <v>0</v>
      </c>
      <c r="F98" s="64">
        <v>0</v>
      </c>
    </row>
    <row r="99" spans="2:6">
      <c r="B99" s="69">
        <v>629</v>
      </c>
      <c r="C99" s="60" t="s">
        <v>161</v>
      </c>
      <c r="D99" s="61">
        <v>0</v>
      </c>
      <c r="E99" s="61">
        <v>0</v>
      </c>
      <c r="F99" s="61">
        <v>0</v>
      </c>
    </row>
    <row r="100" spans="2:6" ht="17.399999999999999">
      <c r="B100" s="70">
        <v>63</v>
      </c>
      <c r="C100" s="71" t="s">
        <v>162</v>
      </c>
      <c r="D100" s="58">
        <f>SUM(D101,D107,D114,D125)</f>
        <v>39150</v>
      </c>
      <c r="E100" s="58">
        <f t="shared" ref="E100:F100" si="7">SUM(E101,E107,E114,E125)</f>
        <v>41107.5</v>
      </c>
      <c r="F100" s="58">
        <f t="shared" si="7"/>
        <v>43162.875</v>
      </c>
    </row>
    <row r="101" spans="2:6">
      <c r="B101" s="59">
        <v>631</v>
      </c>
      <c r="C101" s="60" t="s">
        <v>163</v>
      </c>
      <c r="D101" s="61">
        <f>SUM(D102:D106)</f>
        <v>0</v>
      </c>
      <c r="E101" s="61">
        <f t="shared" ref="E101:F101" si="8">SUM(E102:E106)</f>
        <v>0</v>
      </c>
      <c r="F101" s="61">
        <f t="shared" si="8"/>
        <v>0</v>
      </c>
    </row>
    <row r="102" spans="2:6">
      <c r="B102" s="62">
        <v>631100</v>
      </c>
      <c r="C102" s="63" t="s">
        <v>164</v>
      </c>
      <c r="D102" s="64">
        <v>0</v>
      </c>
      <c r="E102" s="64">
        <v>0</v>
      </c>
      <c r="F102" s="64">
        <v>0</v>
      </c>
    </row>
    <row r="103" spans="2:6">
      <c r="B103" s="62">
        <v>631200</v>
      </c>
      <c r="C103" s="63" t="s">
        <v>165</v>
      </c>
      <c r="D103" s="64">
        <v>0</v>
      </c>
      <c r="E103" s="64">
        <v>0</v>
      </c>
      <c r="F103" s="64">
        <v>0</v>
      </c>
    </row>
    <row r="104" spans="2:6">
      <c r="B104" s="62">
        <v>631300</v>
      </c>
      <c r="C104" s="63" t="s">
        <v>166</v>
      </c>
      <c r="D104" s="64">
        <v>0</v>
      </c>
      <c r="E104" s="64">
        <v>0</v>
      </c>
      <c r="F104" s="64">
        <v>0</v>
      </c>
    </row>
    <row r="105" spans="2:6">
      <c r="B105" s="62">
        <v>631400</v>
      </c>
      <c r="C105" s="63" t="s">
        <v>167</v>
      </c>
      <c r="D105" s="64">
        <v>0</v>
      </c>
      <c r="E105" s="64">
        <v>0</v>
      </c>
      <c r="F105" s="64">
        <v>0</v>
      </c>
    </row>
    <row r="106" spans="2:6">
      <c r="B106" s="62">
        <v>631800</v>
      </c>
      <c r="C106" s="63" t="s">
        <v>168</v>
      </c>
      <c r="D106" s="64">
        <v>0</v>
      </c>
      <c r="E106" s="64">
        <v>0</v>
      </c>
      <c r="F106" s="64">
        <v>0</v>
      </c>
    </row>
    <row r="107" spans="2:6">
      <c r="B107" s="59">
        <v>633</v>
      </c>
      <c r="C107" s="60" t="s">
        <v>169</v>
      </c>
      <c r="D107" s="61">
        <f>SUM(D108:D113)</f>
        <v>0</v>
      </c>
      <c r="E107" s="61">
        <f>SUM(E108:E113)</f>
        <v>0</v>
      </c>
      <c r="F107" s="61">
        <f>SUM(F108:F113)</f>
        <v>0</v>
      </c>
    </row>
    <row r="108" spans="2:6">
      <c r="B108" s="62" t="s">
        <v>170</v>
      </c>
      <c r="C108" s="63" t="s">
        <v>171</v>
      </c>
      <c r="D108" s="64">
        <v>0</v>
      </c>
      <c r="E108" s="64">
        <v>0</v>
      </c>
      <c r="F108" s="64">
        <v>0</v>
      </c>
    </row>
    <row r="109" spans="2:6">
      <c r="B109" s="62" t="s">
        <v>172</v>
      </c>
      <c r="C109" s="63" t="s">
        <v>173</v>
      </c>
      <c r="D109" s="74">
        <v>0</v>
      </c>
      <c r="E109" s="64">
        <v>0</v>
      </c>
      <c r="F109" s="64">
        <v>0</v>
      </c>
    </row>
    <row r="110" spans="2:6">
      <c r="B110" s="62" t="s">
        <v>174</v>
      </c>
      <c r="C110" s="63" t="s">
        <v>175</v>
      </c>
      <c r="D110" s="74">
        <v>0</v>
      </c>
      <c r="E110" s="64">
        <v>0</v>
      </c>
      <c r="F110" s="64">
        <v>0</v>
      </c>
    </row>
    <row r="111" spans="2:6">
      <c r="B111" s="62" t="s">
        <v>176</v>
      </c>
      <c r="C111" s="63" t="s">
        <v>177</v>
      </c>
      <c r="D111" s="74">
        <v>0</v>
      </c>
      <c r="E111" s="64">
        <v>0</v>
      </c>
      <c r="F111" s="64">
        <v>0</v>
      </c>
    </row>
    <row r="112" spans="2:6">
      <c r="B112" s="62" t="s">
        <v>178</v>
      </c>
      <c r="C112" s="63" t="s">
        <v>179</v>
      </c>
      <c r="D112" s="74">
        <v>0</v>
      </c>
      <c r="E112" s="64">
        <v>0</v>
      </c>
      <c r="F112" s="64">
        <v>0</v>
      </c>
    </row>
    <row r="113" spans="2:6">
      <c r="B113" s="62" t="s">
        <v>180</v>
      </c>
      <c r="C113" s="63" t="s">
        <v>168</v>
      </c>
      <c r="D113" s="74">
        <v>0</v>
      </c>
      <c r="E113" s="64">
        <v>0</v>
      </c>
      <c r="F113" s="64">
        <v>0</v>
      </c>
    </row>
    <row r="114" spans="2:6">
      <c r="B114" s="59">
        <v>635</v>
      </c>
      <c r="C114" s="60" t="s">
        <v>181</v>
      </c>
      <c r="D114" s="61">
        <f>SUM(D115:D124)</f>
        <v>39150</v>
      </c>
      <c r="E114" s="61">
        <f t="shared" ref="E114:F114" si="9">SUM(E115:E124)</f>
        <v>41107.5</v>
      </c>
      <c r="F114" s="61">
        <f t="shared" si="9"/>
        <v>43162.875</v>
      </c>
    </row>
    <row r="115" spans="2:6">
      <c r="B115" s="62">
        <v>635110</v>
      </c>
      <c r="C115" s="63" t="s">
        <v>182</v>
      </c>
      <c r="D115" s="64">
        <v>0</v>
      </c>
      <c r="E115" s="64">
        <v>0</v>
      </c>
      <c r="F115" s="64">
        <v>0</v>
      </c>
    </row>
    <row r="116" spans="2:6">
      <c r="B116" s="62" t="s">
        <v>183</v>
      </c>
      <c r="C116" s="63" t="s">
        <v>184</v>
      </c>
      <c r="D116" s="64">
        <v>0</v>
      </c>
      <c r="E116" s="64">
        <v>0</v>
      </c>
      <c r="F116" s="64">
        <v>0</v>
      </c>
    </row>
    <row r="117" spans="2:6">
      <c r="B117" s="62" t="s">
        <v>185</v>
      </c>
      <c r="C117" s="63" t="s">
        <v>186</v>
      </c>
      <c r="D117" s="64">
        <v>0</v>
      </c>
      <c r="E117" s="64">
        <v>0</v>
      </c>
      <c r="F117" s="64">
        <v>0</v>
      </c>
    </row>
    <row r="118" spans="2:6">
      <c r="B118" s="62">
        <v>635140</v>
      </c>
      <c r="C118" s="63" t="s">
        <v>187</v>
      </c>
      <c r="D118" s="64">
        <v>0</v>
      </c>
      <c r="E118" s="64">
        <v>0</v>
      </c>
      <c r="F118" s="64">
        <v>0</v>
      </c>
    </row>
    <row r="119" spans="2:6">
      <c r="B119" s="62" t="s">
        <v>188</v>
      </c>
      <c r="C119" s="63" t="s">
        <v>189</v>
      </c>
      <c r="D119" s="64">
        <v>0</v>
      </c>
      <c r="E119" s="64">
        <v>0</v>
      </c>
      <c r="F119" s="64">
        <v>0</v>
      </c>
    </row>
    <row r="120" spans="2:6">
      <c r="B120" s="62">
        <v>635200</v>
      </c>
      <c r="C120" s="63" t="s">
        <v>190</v>
      </c>
      <c r="D120" s="64">
        <v>0</v>
      </c>
      <c r="E120" s="64">
        <v>0</v>
      </c>
      <c r="F120" s="64">
        <v>0</v>
      </c>
    </row>
    <row r="121" spans="2:6">
      <c r="B121" s="62" t="s">
        <v>191</v>
      </c>
      <c r="C121" s="63" t="s">
        <v>192</v>
      </c>
      <c r="D121" s="64">
        <v>0</v>
      </c>
      <c r="E121" s="64">
        <v>0</v>
      </c>
      <c r="F121" s="64">
        <v>0</v>
      </c>
    </row>
    <row r="122" spans="2:6">
      <c r="B122" s="62" t="s">
        <v>193</v>
      </c>
      <c r="C122" s="63" t="s">
        <v>194</v>
      </c>
      <c r="D122" s="64">
        <v>0</v>
      </c>
      <c r="E122" s="64">
        <v>0</v>
      </c>
      <c r="F122" s="64">
        <v>0</v>
      </c>
    </row>
    <row r="123" spans="2:6">
      <c r="B123" s="62" t="s">
        <v>195</v>
      </c>
      <c r="C123" s="63" t="s">
        <v>196</v>
      </c>
      <c r="D123" s="64">
        <v>0</v>
      </c>
      <c r="E123" s="64">
        <v>0</v>
      </c>
      <c r="F123" s="64">
        <v>0</v>
      </c>
    </row>
    <row r="124" spans="2:6">
      <c r="B124" s="62">
        <v>635800</v>
      </c>
      <c r="C124" s="63" t="s">
        <v>390</v>
      </c>
      <c r="D124" s="64">
        <f>'Trésorerie année 1'!O23</f>
        <v>39150</v>
      </c>
      <c r="E124" s="64">
        <f>'Trésorerie année 2'!O23</f>
        <v>41107.5</v>
      </c>
      <c r="F124" s="64">
        <f>'Trésorerie année 3'!O23</f>
        <v>43162.875</v>
      </c>
    </row>
    <row r="125" spans="2:6">
      <c r="B125" s="59">
        <v>637</v>
      </c>
      <c r="C125" s="60" t="s">
        <v>197</v>
      </c>
      <c r="D125" s="61">
        <v>0</v>
      </c>
      <c r="E125" s="61">
        <v>0</v>
      </c>
      <c r="F125" s="61">
        <v>0</v>
      </c>
    </row>
    <row r="126" spans="2:6" ht="17.399999999999999">
      <c r="B126" s="70">
        <v>64</v>
      </c>
      <c r="C126" s="71" t="s">
        <v>198</v>
      </c>
      <c r="D126" s="58">
        <f>SUM(D127,D132,D140,D141)</f>
        <v>39480</v>
      </c>
      <c r="E126" s="58">
        <f t="shared" ref="E126:F126" si="10">SUM(E127,E132,E140,E141)</f>
        <v>43308</v>
      </c>
      <c r="F126" s="58">
        <f t="shared" si="10"/>
        <v>47518.799999999996</v>
      </c>
    </row>
    <row r="127" spans="2:6">
      <c r="B127" s="59">
        <v>641</v>
      </c>
      <c r="C127" s="60" t="s">
        <v>199</v>
      </c>
      <c r="D127" s="61">
        <f>SUM(D128,D129,D130,D131)</f>
        <v>19800</v>
      </c>
      <c r="E127" s="61">
        <f t="shared" ref="E127:F127" si="11">SUM(E128,E129,E130,E131)</f>
        <v>21780</v>
      </c>
      <c r="F127" s="61">
        <f t="shared" si="11"/>
        <v>23958</v>
      </c>
    </row>
    <row r="128" spans="2:6">
      <c r="B128" s="62" t="s">
        <v>200</v>
      </c>
      <c r="C128" s="63" t="s">
        <v>201</v>
      </c>
      <c r="D128" s="64">
        <f>'Trésorerie année 1'!O33*0.75</f>
        <v>19800</v>
      </c>
      <c r="E128" s="64">
        <f>'Trésorerie année 2'!O33*0.75</f>
        <v>21780</v>
      </c>
      <c r="F128" s="64">
        <f>'Trésorerie année 3'!O33*0.75</f>
        <v>23958</v>
      </c>
    </row>
    <row r="129" spans="2:6">
      <c r="B129" s="62" t="s">
        <v>202</v>
      </c>
      <c r="C129" s="63" t="s">
        <v>203</v>
      </c>
      <c r="D129" s="64">
        <v>0</v>
      </c>
      <c r="E129" s="64">
        <v>0</v>
      </c>
      <c r="F129" s="64">
        <v>0</v>
      </c>
    </row>
    <row r="130" spans="2:6">
      <c r="B130" s="62" t="s">
        <v>204</v>
      </c>
      <c r="C130" s="63" t="s">
        <v>205</v>
      </c>
      <c r="D130" s="64">
        <v>0</v>
      </c>
      <c r="E130" s="64">
        <v>0</v>
      </c>
      <c r="F130" s="64">
        <v>0</v>
      </c>
    </row>
    <row r="131" spans="2:6">
      <c r="B131" s="62" t="s">
        <v>206</v>
      </c>
      <c r="C131" s="63" t="s">
        <v>207</v>
      </c>
      <c r="D131" s="64">
        <v>0</v>
      </c>
      <c r="E131" s="64">
        <v>0</v>
      </c>
      <c r="F131" s="64">
        <v>0</v>
      </c>
    </row>
    <row r="132" spans="2:6">
      <c r="B132" s="59">
        <v>645</v>
      </c>
      <c r="C132" s="60" t="s">
        <v>208</v>
      </c>
      <c r="D132" s="61">
        <f>SUM(D133,D134,D135,D136,D137,D138,D139)</f>
        <v>19680</v>
      </c>
      <c r="E132" s="61">
        <f>SUM(E133,E134,E135,E136,E137,E138,E139)</f>
        <v>21528</v>
      </c>
      <c r="F132" s="61">
        <f>SUM(F133,F134,F135,F136,F137,F138,F139)</f>
        <v>23560.799999999996</v>
      </c>
    </row>
    <row r="133" spans="2:6">
      <c r="B133" s="62" t="s">
        <v>209</v>
      </c>
      <c r="C133" s="63" t="s">
        <v>210</v>
      </c>
      <c r="D133" s="64">
        <f>'Trésorerie année 1'!O33*0.25+'Trésorerie année 1'!O34</f>
        <v>18480</v>
      </c>
      <c r="E133" s="64">
        <f>'Trésorerie année 2'!O33*0.25+'Trésorerie année 2'!O34</f>
        <v>20328</v>
      </c>
      <c r="F133" s="64">
        <f>'Trésorerie année 3'!O33*0.25+'Trésorerie année 3'!O34</f>
        <v>22360.799999999996</v>
      </c>
    </row>
    <row r="134" spans="2:6">
      <c r="B134" s="62" t="s">
        <v>211</v>
      </c>
      <c r="C134" s="63" t="s">
        <v>212</v>
      </c>
      <c r="D134" s="64">
        <f>'Trésorerie année 1'!O32</f>
        <v>1200</v>
      </c>
      <c r="E134" s="64">
        <f>'Trésorerie année 2'!O32</f>
        <v>1200</v>
      </c>
      <c r="F134" s="64">
        <f>'Trésorerie année 3'!O32</f>
        <v>1200</v>
      </c>
    </row>
    <row r="135" spans="2:6">
      <c r="B135" s="62" t="s">
        <v>213</v>
      </c>
      <c r="C135" s="63" t="s">
        <v>214</v>
      </c>
      <c r="D135" s="64">
        <v>0</v>
      </c>
      <c r="E135" s="64">
        <v>0</v>
      </c>
      <c r="F135" s="64">
        <v>0</v>
      </c>
    </row>
    <row r="136" spans="2:6">
      <c r="B136" s="62" t="s">
        <v>215</v>
      </c>
      <c r="C136" s="63" t="s">
        <v>216</v>
      </c>
      <c r="D136" s="64">
        <v>0</v>
      </c>
      <c r="E136" s="64">
        <v>0</v>
      </c>
      <c r="F136" s="64">
        <v>0</v>
      </c>
    </row>
    <row r="137" spans="2:6">
      <c r="B137" s="62" t="s">
        <v>217</v>
      </c>
      <c r="C137" s="63" t="s">
        <v>218</v>
      </c>
      <c r="D137" s="64">
        <v>0</v>
      </c>
      <c r="E137" s="64">
        <v>0</v>
      </c>
      <c r="F137" s="64">
        <v>0</v>
      </c>
    </row>
    <row r="138" spans="2:6">
      <c r="B138" s="62" t="s">
        <v>219</v>
      </c>
      <c r="C138" s="63" t="s">
        <v>220</v>
      </c>
      <c r="D138" s="64">
        <v>0</v>
      </c>
      <c r="E138" s="64">
        <v>0</v>
      </c>
      <c r="F138" s="64">
        <v>0</v>
      </c>
    </row>
    <row r="139" spans="2:6">
      <c r="B139" s="62" t="s">
        <v>221</v>
      </c>
      <c r="C139" s="63" t="s">
        <v>222</v>
      </c>
      <c r="D139" s="64">
        <v>0</v>
      </c>
      <c r="E139" s="64">
        <v>0</v>
      </c>
      <c r="F139" s="64">
        <v>0</v>
      </c>
    </row>
    <row r="140" spans="2:6">
      <c r="B140" s="59">
        <v>647</v>
      </c>
      <c r="C140" s="60" t="s">
        <v>223</v>
      </c>
      <c r="D140" s="61">
        <v>0</v>
      </c>
      <c r="E140" s="61">
        <v>0</v>
      </c>
      <c r="F140" s="61">
        <v>0</v>
      </c>
    </row>
    <row r="141" spans="2:6">
      <c r="B141" s="59">
        <v>648</v>
      </c>
      <c r="C141" s="60" t="s">
        <v>224</v>
      </c>
      <c r="D141" s="61">
        <v>0</v>
      </c>
      <c r="E141" s="61">
        <v>0</v>
      </c>
      <c r="F141" s="61">
        <v>0</v>
      </c>
    </row>
    <row r="142" spans="2:6" ht="17.399999999999999">
      <c r="B142" s="70">
        <v>65</v>
      </c>
      <c r="C142" s="71" t="s">
        <v>225</v>
      </c>
      <c r="D142" s="58">
        <f>SUM(D143,D144,D147:D148)</f>
        <v>0</v>
      </c>
      <c r="E142" s="58">
        <f>SUM(E143,E144,E147:E148)</f>
        <v>0</v>
      </c>
      <c r="F142" s="58">
        <f>SUM(F143,F144,F147:F148)</f>
        <v>0</v>
      </c>
    </row>
    <row r="143" spans="2:6">
      <c r="B143" s="59">
        <v>651</v>
      </c>
      <c r="C143" s="60" t="s">
        <v>226</v>
      </c>
      <c r="D143" s="61">
        <v>0</v>
      </c>
      <c r="E143" s="61">
        <v>0</v>
      </c>
      <c r="F143" s="61">
        <v>0</v>
      </c>
    </row>
    <row r="144" spans="2:6">
      <c r="B144" s="59">
        <v>654</v>
      </c>
      <c r="C144" s="60" t="s">
        <v>227</v>
      </c>
      <c r="D144" s="61">
        <f>SUM(D145:D146)</f>
        <v>0</v>
      </c>
      <c r="E144" s="61">
        <f>SUM(E145:E146)</f>
        <v>0</v>
      </c>
      <c r="F144" s="61">
        <f>SUM(F145:F146)</f>
        <v>0</v>
      </c>
    </row>
    <row r="145" spans="2:8">
      <c r="B145" s="62" t="s">
        <v>228</v>
      </c>
      <c r="C145" s="63" t="s">
        <v>229</v>
      </c>
      <c r="D145" s="64">
        <v>0</v>
      </c>
      <c r="E145" s="64">
        <v>0</v>
      </c>
      <c r="F145" s="64">
        <v>0</v>
      </c>
    </row>
    <row r="146" spans="2:8">
      <c r="B146" s="62" t="s">
        <v>230</v>
      </c>
      <c r="C146" s="63" t="s">
        <v>231</v>
      </c>
      <c r="D146" s="64">
        <v>0</v>
      </c>
      <c r="E146" s="64">
        <v>0</v>
      </c>
      <c r="F146" s="64">
        <v>0</v>
      </c>
    </row>
    <row r="147" spans="2:8">
      <c r="B147" s="59">
        <v>655</v>
      </c>
      <c r="C147" s="60" t="s">
        <v>232</v>
      </c>
      <c r="D147" s="61">
        <v>0</v>
      </c>
      <c r="E147" s="61">
        <v>0</v>
      </c>
      <c r="F147" s="61">
        <v>0</v>
      </c>
    </row>
    <row r="148" spans="2:8">
      <c r="B148" s="59">
        <v>658</v>
      </c>
      <c r="C148" s="60" t="s">
        <v>233</v>
      </c>
      <c r="D148" s="61">
        <v>0</v>
      </c>
      <c r="E148" s="61">
        <v>0</v>
      </c>
      <c r="F148" s="61">
        <v>0</v>
      </c>
    </row>
    <row r="149" spans="2:8" ht="18">
      <c r="B149" s="70">
        <v>66</v>
      </c>
      <c r="C149" s="71" t="s">
        <v>234</v>
      </c>
      <c r="D149" s="58">
        <f>SUM(D150,D155:D159)</f>
        <v>1185.1385346856412</v>
      </c>
      <c r="E149" s="75">
        <f>SUM(E150,E155:E159)</f>
        <v>940.01122899444317</v>
      </c>
      <c r="F149" s="75">
        <f>SUM(F150,F155:F159)</f>
        <v>686.16549195595348</v>
      </c>
    </row>
    <row r="150" spans="2:8">
      <c r="B150" s="59">
        <v>661</v>
      </c>
      <c r="C150" s="60" t="s">
        <v>235</v>
      </c>
      <c r="D150" s="61">
        <f>SUM(D151:D154)</f>
        <v>1185.1385346856412</v>
      </c>
      <c r="E150" s="61">
        <f t="shared" ref="E150:F150" si="12">SUM(E151:E154)</f>
        <v>940.01122899444317</v>
      </c>
      <c r="F150" s="61">
        <f t="shared" si="12"/>
        <v>686.16549195595348</v>
      </c>
    </row>
    <row r="151" spans="2:8">
      <c r="B151" s="62">
        <v>661100</v>
      </c>
      <c r="C151" s="63" t="s">
        <v>236</v>
      </c>
      <c r="D151" s="64">
        <f>SUM(Emprunt!$H$18:$H$29)</f>
        <v>1185.1385346856412</v>
      </c>
      <c r="E151" s="64">
        <f>SUM(Emprunt!$H$30:$H$41)</f>
        <v>940.01122899444317</v>
      </c>
      <c r="F151" s="64">
        <f>SUM(Emprunt!$H$42:$H$53)</f>
        <v>686.16549195595348</v>
      </c>
      <c r="H151" s="173"/>
    </row>
    <row r="152" spans="2:8">
      <c r="B152" s="62" t="s">
        <v>237</v>
      </c>
      <c r="C152" s="63" t="s">
        <v>238</v>
      </c>
      <c r="D152" s="64">
        <v>0</v>
      </c>
      <c r="E152" s="64">
        <v>0</v>
      </c>
      <c r="F152" s="64">
        <v>0</v>
      </c>
    </row>
    <row r="153" spans="2:8">
      <c r="B153" s="62" t="s">
        <v>239</v>
      </c>
      <c r="C153" s="63" t="s">
        <v>240</v>
      </c>
      <c r="D153" s="64">
        <v>0</v>
      </c>
      <c r="E153" s="64">
        <v>0</v>
      </c>
      <c r="F153" s="64">
        <v>0</v>
      </c>
    </row>
    <row r="154" spans="2:8">
      <c r="B154" s="62" t="s">
        <v>241</v>
      </c>
      <c r="C154" s="63" t="s">
        <v>242</v>
      </c>
      <c r="D154" s="64">
        <v>0</v>
      </c>
      <c r="E154" s="64">
        <v>0</v>
      </c>
      <c r="F154" s="64">
        <v>0</v>
      </c>
    </row>
    <row r="155" spans="2:8">
      <c r="B155" s="69">
        <v>664</v>
      </c>
      <c r="C155" s="60" t="s">
        <v>243</v>
      </c>
      <c r="D155" s="61">
        <v>0</v>
      </c>
      <c r="E155" s="61">
        <v>0</v>
      </c>
      <c r="F155" s="61">
        <v>0</v>
      </c>
    </row>
    <row r="156" spans="2:8">
      <c r="B156" s="69">
        <v>665</v>
      </c>
      <c r="C156" s="60" t="s">
        <v>244</v>
      </c>
      <c r="D156" s="61">
        <v>0</v>
      </c>
      <c r="E156" s="61">
        <v>0</v>
      </c>
      <c r="F156" s="61">
        <v>0</v>
      </c>
    </row>
    <row r="157" spans="2:8">
      <c r="B157" s="69">
        <v>666</v>
      </c>
      <c r="C157" s="60" t="s">
        <v>245</v>
      </c>
      <c r="D157" s="61">
        <v>0</v>
      </c>
      <c r="E157" s="61">
        <v>0</v>
      </c>
      <c r="F157" s="61">
        <v>0</v>
      </c>
    </row>
    <row r="158" spans="2:8">
      <c r="B158" s="69">
        <v>667</v>
      </c>
      <c r="C158" s="60" t="s">
        <v>246</v>
      </c>
      <c r="D158" s="61">
        <v>0</v>
      </c>
      <c r="E158" s="61">
        <v>0</v>
      </c>
      <c r="F158" s="61">
        <v>0</v>
      </c>
    </row>
    <row r="159" spans="2:8">
      <c r="B159" s="59">
        <v>668</v>
      </c>
      <c r="C159" s="60" t="s">
        <v>247</v>
      </c>
      <c r="D159" s="61">
        <v>0</v>
      </c>
      <c r="E159" s="61">
        <v>0</v>
      </c>
      <c r="F159" s="61">
        <v>0</v>
      </c>
    </row>
    <row r="160" spans="2:8" ht="18">
      <c r="B160" s="76">
        <v>67</v>
      </c>
      <c r="C160" s="77" t="s">
        <v>248</v>
      </c>
      <c r="D160" s="75">
        <f>SUM(D161,D165,D166,D171)</f>
        <v>0</v>
      </c>
      <c r="E160" s="75">
        <f>SUM(E161,E165,E166,E171)</f>
        <v>0</v>
      </c>
      <c r="F160" s="75">
        <f>SUM(F161,F165,F166,F171)</f>
        <v>0</v>
      </c>
    </row>
    <row r="161" spans="2:6">
      <c r="B161" s="78">
        <v>671</v>
      </c>
      <c r="C161" s="60" t="s">
        <v>249</v>
      </c>
      <c r="D161" s="61">
        <f>SUM(D162:D164)</f>
        <v>0</v>
      </c>
      <c r="E161" s="61">
        <f>SUM(E162:E164)</f>
        <v>0</v>
      </c>
      <c r="F161" s="61">
        <f>SUM(F162:F164)</f>
        <v>0</v>
      </c>
    </row>
    <row r="162" spans="2:6">
      <c r="B162" s="62">
        <v>671200</v>
      </c>
      <c r="C162" s="63" t="s">
        <v>250</v>
      </c>
      <c r="D162" s="64">
        <v>0</v>
      </c>
      <c r="E162" s="64">
        <v>0</v>
      </c>
      <c r="F162" s="64">
        <v>0</v>
      </c>
    </row>
    <row r="163" spans="2:6">
      <c r="B163" s="62">
        <v>671400</v>
      </c>
      <c r="C163" s="63" t="s">
        <v>251</v>
      </c>
      <c r="D163" s="64">
        <v>0</v>
      </c>
      <c r="E163" s="64">
        <v>0</v>
      </c>
      <c r="F163" s="64">
        <v>0</v>
      </c>
    </row>
    <row r="164" spans="2:6">
      <c r="B164" s="62">
        <v>671800</v>
      </c>
      <c r="C164" s="63" t="s">
        <v>252</v>
      </c>
      <c r="D164" s="64">
        <v>0</v>
      </c>
      <c r="E164" s="64">
        <v>0</v>
      </c>
      <c r="F164" s="64">
        <v>0</v>
      </c>
    </row>
    <row r="165" spans="2:6">
      <c r="B165" s="78">
        <v>672</v>
      </c>
      <c r="C165" s="60" t="s">
        <v>253</v>
      </c>
      <c r="D165" s="61">
        <v>0</v>
      </c>
      <c r="E165" s="61">
        <v>0</v>
      </c>
      <c r="F165" s="61">
        <v>0</v>
      </c>
    </row>
    <row r="166" spans="2:6">
      <c r="B166" s="78">
        <v>675</v>
      </c>
      <c r="C166" s="60" t="s">
        <v>254</v>
      </c>
      <c r="D166" s="61">
        <f>SUM(D167:D170)</f>
        <v>0</v>
      </c>
      <c r="E166" s="61">
        <f>SUM(E167:E170)</f>
        <v>0</v>
      </c>
      <c r="F166" s="61">
        <f>SUM(F167:F170)</f>
        <v>0</v>
      </c>
    </row>
    <row r="167" spans="2:6">
      <c r="B167" s="62">
        <v>675510</v>
      </c>
      <c r="C167" s="63" t="s">
        <v>255</v>
      </c>
      <c r="D167" s="64">
        <v>0</v>
      </c>
      <c r="E167" s="64">
        <v>0</v>
      </c>
      <c r="F167" s="64">
        <v>0</v>
      </c>
    </row>
    <row r="168" spans="2:6">
      <c r="B168" s="62">
        <v>675520</v>
      </c>
      <c r="C168" s="63" t="s">
        <v>256</v>
      </c>
      <c r="D168" s="64">
        <v>0</v>
      </c>
      <c r="E168" s="64">
        <v>0</v>
      </c>
      <c r="F168" s="64">
        <v>0</v>
      </c>
    </row>
    <row r="169" spans="2:6">
      <c r="B169" s="62">
        <v>675560</v>
      </c>
      <c r="C169" s="63" t="s">
        <v>257</v>
      </c>
      <c r="D169" s="64">
        <v>0</v>
      </c>
      <c r="E169" s="64">
        <v>0</v>
      </c>
      <c r="F169" s="64">
        <v>0</v>
      </c>
    </row>
    <row r="170" spans="2:6">
      <c r="B170" s="62">
        <v>675800</v>
      </c>
      <c r="C170" s="63" t="s">
        <v>258</v>
      </c>
      <c r="D170" s="64">
        <v>0</v>
      </c>
      <c r="E170" s="64">
        <v>0</v>
      </c>
      <c r="F170" s="64">
        <v>0</v>
      </c>
    </row>
    <row r="171" spans="2:6">
      <c r="B171" s="78">
        <v>678</v>
      </c>
      <c r="C171" s="60" t="s">
        <v>259</v>
      </c>
      <c r="D171" s="61">
        <v>0</v>
      </c>
      <c r="E171" s="61">
        <v>0</v>
      </c>
      <c r="F171" s="61">
        <v>0</v>
      </c>
    </row>
    <row r="172" spans="2:6" ht="18">
      <c r="B172" s="70">
        <v>68</v>
      </c>
      <c r="C172" s="71" t="s">
        <v>260</v>
      </c>
      <c r="D172" s="58">
        <f>SUM(D173,D174,D175)</f>
        <v>8416.6666666666661</v>
      </c>
      <c r="E172" s="75">
        <f>SUM(E173,E174,E175)</f>
        <v>8416.6666666666661</v>
      </c>
      <c r="F172" s="75">
        <f>SUM(F173,F174,F175)</f>
        <v>8416.6666666666661</v>
      </c>
    </row>
    <row r="173" spans="2:6">
      <c r="B173" s="59">
        <v>681</v>
      </c>
      <c r="C173" s="60" t="s">
        <v>261</v>
      </c>
      <c r="D173" s="61">
        <f>'Bilan année 1'!E24</f>
        <v>8416.6666666666661</v>
      </c>
      <c r="E173" s="61">
        <f>'Bilan année 2'!E24/2</f>
        <v>8416.6666666666661</v>
      </c>
      <c r="F173" s="61">
        <f>'Bilan année 3'!E24/3</f>
        <v>8416.6666666666661</v>
      </c>
    </row>
    <row r="174" spans="2:6">
      <c r="B174" s="79">
        <v>686</v>
      </c>
      <c r="C174" s="60" t="s">
        <v>262</v>
      </c>
      <c r="D174" s="61">
        <v>0</v>
      </c>
      <c r="E174" s="61">
        <v>0</v>
      </c>
      <c r="F174" s="61">
        <v>0</v>
      </c>
    </row>
    <row r="175" spans="2:6">
      <c r="B175" s="79">
        <v>687</v>
      </c>
      <c r="C175" s="60" t="s">
        <v>263</v>
      </c>
      <c r="D175" s="61">
        <v>0</v>
      </c>
      <c r="E175" s="61">
        <v>0</v>
      </c>
      <c r="F175" s="61">
        <v>0</v>
      </c>
    </row>
    <row r="176" spans="2:6" ht="18">
      <c r="B176" s="70">
        <v>69</v>
      </c>
      <c r="C176" s="71" t="s">
        <v>264</v>
      </c>
      <c r="D176" s="58">
        <f>SUM(D177,D178)</f>
        <v>0</v>
      </c>
      <c r="E176" s="75">
        <f>SUM(E177,E178)</f>
        <v>0</v>
      </c>
      <c r="F176" s="75">
        <f>SUM(F177,F178)</f>
        <v>0</v>
      </c>
    </row>
    <row r="177" spans="2:6">
      <c r="B177" s="79">
        <v>691</v>
      </c>
      <c r="C177" s="60" t="s">
        <v>265</v>
      </c>
      <c r="D177" s="61">
        <v>0</v>
      </c>
      <c r="E177" s="61">
        <v>0</v>
      </c>
      <c r="F177" s="61">
        <v>0</v>
      </c>
    </row>
    <row r="178" spans="2:6">
      <c r="B178" s="80">
        <v>695</v>
      </c>
      <c r="C178" s="81" t="s">
        <v>266</v>
      </c>
      <c r="D178" s="82">
        <v>0</v>
      </c>
      <c r="E178" s="82">
        <v>0</v>
      </c>
      <c r="F178" s="82">
        <v>0</v>
      </c>
    </row>
    <row r="179" spans="2:6">
      <c r="B179" s="235"/>
      <c r="C179" s="236"/>
      <c r="D179" s="237"/>
      <c r="E179" s="237"/>
      <c r="F179" s="238"/>
    </row>
    <row r="180" spans="2:6">
      <c r="B180" s="239" t="s">
        <v>267</v>
      </c>
      <c r="C180" s="240"/>
      <c r="D180" s="230" t="s">
        <v>38</v>
      </c>
      <c r="E180" s="230" t="s">
        <v>38</v>
      </c>
      <c r="F180" s="230" t="s">
        <v>38</v>
      </c>
    </row>
    <row r="181" spans="2:6">
      <c r="B181" s="226"/>
      <c r="C181" s="241"/>
      <c r="D181" s="231"/>
      <c r="E181" s="231"/>
      <c r="F181" s="231"/>
    </row>
    <row r="182" spans="2:6">
      <c r="B182" s="228"/>
      <c r="C182" s="242"/>
      <c r="D182" s="232"/>
      <c r="E182" s="232"/>
      <c r="F182" s="232"/>
    </row>
    <row r="183" spans="2:6" ht="17.399999999999999">
      <c r="B183" s="83">
        <v>70</v>
      </c>
      <c r="C183" s="84" t="s">
        <v>268</v>
      </c>
      <c r="D183" s="85">
        <f>SUM(D184,D188)</f>
        <v>186318.40909090909</v>
      </c>
      <c r="E183" s="85">
        <f t="shared" ref="E183:F183" si="13">SUM(E184,E188)</f>
        <v>215121.09375</v>
      </c>
      <c r="F183" s="85">
        <f t="shared" si="13"/>
        <v>237070.37812499999</v>
      </c>
    </row>
    <row r="184" spans="2:6">
      <c r="B184" s="91">
        <v>707</v>
      </c>
      <c r="C184" s="91" t="s">
        <v>269</v>
      </c>
      <c r="D184" s="86">
        <f>SUM(D185:D187)</f>
        <v>186318.40909090909</v>
      </c>
      <c r="E184" s="86">
        <f>SUM(E185:E187)</f>
        <v>215121.09375</v>
      </c>
      <c r="F184" s="86">
        <f>SUM(F185:F187)</f>
        <v>237070.37812499999</v>
      </c>
    </row>
    <row r="185" spans="2:6">
      <c r="B185" s="62">
        <v>707100</v>
      </c>
      <c r="C185" s="63" t="s">
        <v>387</v>
      </c>
      <c r="D185" s="64">
        <f>'Trésorerie année 1'!O8/1.2*0.25</f>
        <v>1957.5</v>
      </c>
      <c r="E185" s="64">
        <f>'Trésorerie année 2'!O8/1.2*0.25</f>
        <v>2242.9687500000005</v>
      </c>
      <c r="F185" s="64">
        <f>'Trésorerie année 3'!O8/1.2*0.25</f>
        <v>2449.3218750000001</v>
      </c>
    </row>
    <row r="186" spans="2:6">
      <c r="B186" s="62">
        <v>707200</v>
      </c>
      <c r="C186" s="63" t="s">
        <v>388</v>
      </c>
      <c r="D186" s="64">
        <f>'Trésorerie année 1'!O7/1.1+'Trésorerie année 1'!O8/1.1*0.75</f>
        <v>184360.90909090909</v>
      </c>
      <c r="E186" s="64">
        <f>'Trésorerie année 2'!O7/1.1+'Trésorerie année 2'!O8/1.1*0.75</f>
        <v>212878.125</v>
      </c>
      <c r="F186" s="64">
        <f>'Trésorerie année 3'!O7/1.1+'Trésorerie année 3'!O8/1.1*0.75</f>
        <v>234621.05624999999</v>
      </c>
    </row>
    <row r="187" spans="2:6">
      <c r="B187" s="62">
        <v>707300</v>
      </c>
      <c r="C187" s="63" t="s">
        <v>389</v>
      </c>
      <c r="D187" s="64">
        <v>0</v>
      </c>
      <c r="E187" s="64">
        <v>0</v>
      </c>
      <c r="F187" s="64">
        <v>0</v>
      </c>
    </row>
    <row r="188" spans="2:6">
      <c r="B188" s="91">
        <v>709</v>
      </c>
      <c r="C188" s="87" t="s">
        <v>270</v>
      </c>
      <c r="D188" s="86">
        <v>0</v>
      </c>
      <c r="E188" s="86">
        <v>0</v>
      </c>
      <c r="F188" s="86">
        <v>0</v>
      </c>
    </row>
    <row r="189" spans="2:6" ht="17.399999999999999">
      <c r="B189" s="88">
        <v>74</v>
      </c>
      <c r="C189" s="89" t="s">
        <v>271</v>
      </c>
      <c r="D189" s="85">
        <v>0</v>
      </c>
      <c r="E189" s="85">
        <v>0</v>
      </c>
      <c r="F189" s="85">
        <v>0</v>
      </c>
    </row>
    <row r="190" spans="2:6" ht="17.399999999999999">
      <c r="B190" s="88">
        <v>75</v>
      </c>
      <c r="C190" s="89" t="s">
        <v>272</v>
      </c>
      <c r="D190" s="85">
        <v>0</v>
      </c>
      <c r="E190" s="85">
        <v>0</v>
      </c>
      <c r="F190" s="85">
        <v>0</v>
      </c>
    </row>
    <row r="191" spans="2:6" ht="17.399999999999999">
      <c r="B191" s="88">
        <v>76</v>
      </c>
      <c r="C191" s="89" t="s">
        <v>273</v>
      </c>
      <c r="D191" s="85">
        <v>0</v>
      </c>
      <c r="E191" s="85">
        <v>0</v>
      </c>
      <c r="F191" s="85">
        <v>0</v>
      </c>
    </row>
    <row r="192" spans="2:6" ht="17.399999999999999">
      <c r="B192" s="88">
        <v>77</v>
      </c>
      <c r="C192" s="89" t="s">
        <v>274</v>
      </c>
      <c r="D192" s="85">
        <f>SUM(D193,D194,D195,D196,D197)</f>
        <v>0</v>
      </c>
      <c r="E192" s="85">
        <f>SUM(E193,E194,E195,E196,E197)</f>
        <v>0</v>
      </c>
      <c r="F192" s="85">
        <f>SUM(F193,F194,F195,F196,F197)</f>
        <v>0</v>
      </c>
    </row>
    <row r="193" spans="2:6">
      <c r="B193" s="91">
        <v>771</v>
      </c>
      <c r="C193" s="87" t="s">
        <v>275</v>
      </c>
      <c r="D193" s="86">
        <v>0</v>
      </c>
      <c r="E193" s="86">
        <v>0</v>
      </c>
      <c r="F193" s="86">
        <v>0</v>
      </c>
    </row>
    <row r="194" spans="2:6">
      <c r="B194" s="91">
        <v>772</v>
      </c>
      <c r="C194" s="87" t="s">
        <v>276</v>
      </c>
      <c r="D194" s="86">
        <v>0</v>
      </c>
      <c r="E194" s="86">
        <v>0</v>
      </c>
      <c r="F194" s="86">
        <v>0</v>
      </c>
    </row>
    <row r="195" spans="2:6">
      <c r="B195" s="91">
        <v>775</v>
      </c>
      <c r="C195" s="87" t="s">
        <v>277</v>
      </c>
      <c r="D195" s="86">
        <v>0</v>
      </c>
      <c r="E195" s="86">
        <v>0</v>
      </c>
      <c r="F195" s="86">
        <v>0</v>
      </c>
    </row>
    <row r="196" spans="2:6">
      <c r="B196" s="91">
        <v>777</v>
      </c>
      <c r="C196" s="91" t="s">
        <v>278</v>
      </c>
      <c r="D196" s="86">
        <v>0</v>
      </c>
      <c r="E196" s="86">
        <v>0</v>
      </c>
      <c r="F196" s="86">
        <v>0</v>
      </c>
    </row>
    <row r="197" spans="2:6">
      <c r="B197" s="91">
        <v>778</v>
      </c>
      <c r="C197" s="91" t="s">
        <v>279</v>
      </c>
      <c r="D197" s="86">
        <v>0</v>
      </c>
      <c r="E197" s="86">
        <v>0</v>
      </c>
      <c r="F197" s="86">
        <v>0</v>
      </c>
    </row>
    <row r="198" spans="2:6" ht="17.399999999999999">
      <c r="B198" s="88">
        <v>78</v>
      </c>
      <c r="C198" s="89" t="s">
        <v>280</v>
      </c>
      <c r="D198" s="85">
        <f>SUM(D199:D201)</f>
        <v>0</v>
      </c>
      <c r="E198" s="85">
        <f t="shared" ref="E198:F198" si="14">SUM(E199:E201)</f>
        <v>0</v>
      </c>
      <c r="F198" s="85">
        <f t="shared" si="14"/>
        <v>0</v>
      </c>
    </row>
    <row r="199" spans="2:6">
      <c r="B199" s="90">
        <v>781</v>
      </c>
      <c r="C199" s="87" t="s">
        <v>281</v>
      </c>
      <c r="D199" s="86">
        <v>0</v>
      </c>
      <c r="E199" s="86">
        <v>0</v>
      </c>
      <c r="F199" s="86">
        <v>0</v>
      </c>
    </row>
    <row r="200" spans="2:6">
      <c r="B200" s="91">
        <v>786</v>
      </c>
      <c r="C200" s="87" t="s">
        <v>282</v>
      </c>
      <c r="D200" s="86">
        <v>0</v>
      </c>
      <c r="E200" s="86">
        <v>0</v>
      </c>
      <c r="F200" s="86">
        <v>0</v>
      </c>
    </row>
    <row r="201" spans="2:6">
      <c r="B201" s="91">
        <v>787</v>
      </c>
      <c r="C201" s="87" t="s">
        <v>283</v>
      </c>
      <c r="D201" s="86">
        <v>0</v>
      </c>
      <c r="E201" s="86">
        <v>0</v>
      </c>
      <c r="F201" s="86">
        <v>0</v>
      </c>
    </row>
    <row r="202" spans="2:6" ht="17.399999999999999">
      <c r="B202" s="88">
        <v>79</v>
      </c>
      <c r="C202" s="89" t="s">
        <v>284</v>
      </c>
      <c r="D202" s="85">
        <f>SUM(D203,D204,D205)</f>
        <v>0</v>
      </c>
      <c r="E202" s="85">
        <f>SUM(E203,E204,E205)</f>
        <v>0</v>
      </c>
      <c r="F202" s="85">
        <f>SUM(F203,F204,F205)</f>
        <v>0</v>
      </c>
    </row>
    <row r="203" spans="2:6">
      <c r="B203" s="91">
        <v>791</v>
      </c>
      <c r="C203" s="87" t="s">
        <v>284</v>
      </c>
      <c r="D203" s="86">
        <v>0</v>
      </c>
      <c r="E203" s="86">
        <v>0</v>
      </c>
      <c r="F203" s="86">
        <v>0</v>
      </c>
    </row>
    <row r="204" spans="2:6">
      <c r="B204" s="91">
        <v>796</v>
      </c>
      <c r="C204" s="92" t="s">
        <v>285</v>
      </c>
      <c r="D204" s="86">
        <v>0</v>
      </c>
      <c r="E204" s="86">
        <v>0</v>
      </c>
      <c r="F204" s="86">
        <v>0</v>
      </c>
    </row>
    <row r="205" spans="2:6">
      <c r="B205" s="93">
        <v>797</v>
      </c>
      <c r="C205" s="94" t="s">
        <v>286</v>
      </c>
      <c r="D205" s="86">
        <v>0</v>
      </c>
      <c r="E205" s="86">
        <v>0</v>
      </c>
      <c r="F205" s="86">
        <v>0</v>
      </c>
    </row>
  </sheetData>
  <mergeCells count="13">
    <mergeCell ref="B179:F179"/>
    <mergeCell ref="B180:C182"/>
    <mergeCell ref="D180:D182"/>
    <mergeCell ref="E180:E182"/>
    <mergeCell ref="F180:F182"/>
    <mergeCell ref="B3:C6"/>
    <mergeCell ref="B12:C14"/>
    <mergeCell ref="D12:D14"/>
    <mergeCell ref="E12:E14"/>
    <mergeCell ref="F12:F14"/>
    <mergeCell ref="D3:D4"/>
    <mergeCell ref="E3:E4"/>
    <mergeCell ref="F3:F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96DE-717C-40EB-A987-4E4352A5DDEF}">
  <dimension ref="B1:I41"/>
  <sheetViews>
    <sheetView topLeftCell="B13" workbookViewId="0">
      <selection activeCell="I31" sqref="I31"/>
    </sheetView>
  </sheetViews>
  <sheetFormatPr baseColWidth="10" defaultRowHeight="14.4"/>
  <cols>
    <col min="1" max="1" width="3.44140625" customWidth="1"/>
    <col min="2" max="2" width="11.44140625" customWidth="1"/>
    <col min="3" max="3" width="34.6640625" bestFit="1" customWidth="1"/>
    <col min="4" max="4" width="15" bestFit="1" customWidth="1"/>
    <col min="5" max="5" width="17.21875" bestFit="1" customWidth="1"/>
    <col min="6" max="6" width="15" bestFit="1" customWidth="1"/>
    <col min="7" max="7" width="10.77734375" customWidth="1"/>
    <col min="8" max="8" width="40.5546875" bestFit="1" customWidth="1"/>
    <col min="9" max="9" width="15" bestFit="1" customWidth="1"/>
  </cols>
  <sheetData>
    <row r="1" spans="2:9" ht="15" thickBot="1"/>
    <row r="2" spans="2:9">
      <c r="D2" s="243" t="s">
        <v>459</v>
      </c>
      <c r="E2" s="244"/>
      <c r="F2" s="244"/>
      <c r="G2" s="245"/>
    </row>
    <row r="3" spans="2:9" ht="15" thickBot="1">
      <c r="D3" s="246"/>
      <c r="E3" s="247"/>
      <c r="F3" s="247"/>
      <c r="G3" s="248"/>
    </row>
    <row r="5" spans="2:9" ht="23.4">
      <c r="B5" s="252" t="s">
        <v>393</v>
      </c>
      <c r="C5" s="253"/>
      <c r="D5" s="253"/>
      <c r="E5" s="253"/>
      <c r="F5" s="254"/>
      <c r="G5" s="249" t="s">
        <v>396</v>
      </c>
      <c r="H5" s="250"/>
      <c r="I5" s="251"/>
    </row>
    <row r="6" spans="2:9" ht="31.2">
      <c r="B6" s="261" t="s">
        <v>397</v>
      </c>
      <c r="C6" s="262"/>
      <c r="D6" s="154" t="s">
        <v>394</v>
      </c>
      <c r="E6" s="168" t="s">
        <v>444</v>
      </c>
      <c r="F6" s="154" t="s">
        <v>395</v>
      </c>
      <c r="G6" s="259" t="s">
        <v>398</v>
      </c>
      <c r="H6" s="263"/>
      <c r="I6" s="155" t="s">
        <v>395</v>
      </c>
    </row>
    <row r="7" spans="2:9">
      <c r="B7" s="156">
        <v>20</v>
      </c>
      <c r="C7" s="157" t="s">
        <v>399</v>
      </c>
      <c r="D7" s="158">
        <f>SUM(D8:D12)</f>
        <v>1666.6666666666667</v>
      </c>
      <c r="E7" s="158">
        <f t="shared" ref="E7" si="0">SUM(E8:E12)</f>
        <v>416.66666666666669</v>
      </c>
      <c r="F7" s="158">
        <f>D7-E7</f>
        <v>1250</v>
      </c>
      <c r="G7" s="159">
        <v>101</v>
      </c>
      <c r="H7" s="160" t="s">
        <v>400</v>
      </c>
      <c r="I7" s="161">
        <f>'Plan de financement initial'!H7</f>
        <v>22000</v>
      </c>
    </row>
    <row r="8" spans="2:9">
      <c r="B8" s="164">
        <v>201</v>
      </c>
      <c r="C8" s="165" t="s">
        <v>290</v>
      </c>
      <c r="D8" s="166">
        <f>('Plan de financement initial'!D7)/1.2</f>
        <v>1041.6666666666667</v>
      </c>
      <c r="E8" s="166">
        <f>D8/5</f>
        <v>208.33333333333334</v>
      </c>
      <c r="F8" s="166">
        <f>D8-E8</f>
        <v>833.33333333333337</v>
      </c>
      <c r="G8" s="159">
        <v>1061</v>
      </c>
      <c r="H8" s="160" t="s">
        <v>401</v>
      </c>
      <c r="I8" s="161">
        <v>0</v>
      </c>
    </row>
    <row r="9" spans="2:9">
      <c r="B9" s="164">
        <v>203</v>
      </c>
      <c r="C9" s="165" t="s">
        <v>439</v>
      </c>
      <c r="D9" s="166">
        <v>0</v>
      </c>
      <c r="E9" s="166">
        <v>0</v>
      </c>
      <c r="F9" s="166">
        <f t="shared" ref="F9:F12" si="1">D9-E9</f>
        <v>0</v>
      </c>
      <c r="G9" s="159">
        <v>1063</v>
      </c>
      <c r="H9" s="160" t="s">
        <v>403</v>
      </c>
      <c r="I9" s="161">
        <v>0</v>
      </c>
    </row>
    <row r="10" spans="2:9">
      <c r="B10" s="164">
        <v>205</v>
      </c>
      <c r="C10" s="165" t="s">
        <v>402</v>
      </c>
      <c r="D10" s="166">
        <f>'Plan de financement initial'!D16</f>
        <v>0</v>
      </c>
      <c r="E10" s="166">
        <v>0</v>
      </c>
      <c r="F10" s="166">
        <f t="shared" si="1"/>
        <v>0</v>
      </c>
      <c r="G10" s="159">
        <v>1064</v>
      </c>
      <c r="H10" s="160" t="s">
        <v>430</v>
      </c>
      <c r="I10" s="161">
        <v>0</v>
      </c>
    </row>
    <row r="11" spans="2:9">
      <c r="B11" s="164">
        <v>207</v>
      </c>
      <c r="C11" s="165" t="s">
        <v>404</v>
      </c>
      <c r="D11" s="166">
        <f>'Plan de financement initial'!D19</f>
        <v>0</v>
      </c>
      <c r="E11" s="166">
        <v>0</v>
      </c>
      <c r="F11" s="166">
        <f t="shared" si="1"/>
        <v>0</v>
      </c>
      <c r="G11" s="159">
        <v>1068</v>
      </c>
      <c r="H11" s="160" t="s">
        <v>431</v>
      </c>
      <c r="I11" s="161">
        <v>0</v>
      </c>
    </row>
    <row r="12" spans="2:9">
      <c r="B12" s="164">
        <v>208</v>
      </c>
      <c r="C12" s="165" t="s">
        <v>405</v>
      </c>
      <c r="D12" s="166">
        <f>('Plan de financement initial'!D17+'Plan de financement initial'!D18)/1.2</f>
        <v>625</v>
      </c>
      <c r="E12" s="166">
        <f>D12/3</f>
        <v>208.33333333333334</v>
      </c>
      <c r="F12" s="166">
        <f t="shared" si="1"/>
        <v>416.66666666666663</v>
      </c>
      <c r="G12" s="159">
        <v>11</v>
      </c>
      <c r="H12" s="160" t="s">
        <v>432</v>
      </c>
      <c r="I12" s="161">
        <v>0</v>
      </c>
    </row>
    <row r="13" spans="2:9">
      <c r="B13" s="156">
        <v>21</v>
      </c>
      <c r="C13" s="157" t="s">
        <v>406</v>
      </c>
      <c r="D13" s="158">
        <f>SUM(D14:D17)</f>
        <v>40000</v>
      </c>
      <c r="E13" s="158">
        <f>SUM(E14:E17)</f>
        <v>8000</v>
      </c>
      <c r="F13" s="158">
        <f>D13-E13</f>
        <v>32000</v>
      </c>
      <c r="G13" s="159">
        <v>12</v>
      </c>
      <c r="H13" s="160" t="s">
        <v>407</v>
      </c>
      <c r="I13" s="161">
        <f>'CR pluriannuel '!D10</f>
        <v>4755.8238037535657</v>
      </c>
    </row>
    <row r="14" spans="2:9">
      <c r="B14" s="164">
        <v>211</v>
      </c>
      <c r="C14" s="165" t="s">
        <v>408</v>
      </c>
      <c r="D14" s="166">
        <f>'Plan de financement initial'!D27</f>
        <v>0</v>
      </c>
      <c r="E14" s="166">
        <v>0</v>
      </c>
      <c r="F14" s="166">
        <f>D14-E14</f>
        <v>0</v>
      </c>
      <c r="G14" s="159">
        <v>13</v>
      </c>
      <c r="H14" s="160" t="s">
        <v>433</v>
      </c>
      <c r="I14" s="161">
        <v>0</v>
      </c>
    </row>
    <row r="15" spans="2:9">
      <c r="B15" s="164">
        <v>213</v>
      </c>
      <c r="C15" s="165" t="s">
        <v>409</v>
      </c>
      <c r="D15" s="166">
        <f>'Plan de financement initial'!D28+'Plan de financement initial'!D22</f>
        <v>0</v>
      </c>
      <c r="E15" s="166">
        <v>0</v>
      </c>
      <c r="F15" s="166">
        <f t="shared" ref="F15:F17" si="2">D15-E15</f>
        <v>0</v>
      </c>
      <c r="G15" s="159">
        <v>14</v>
      </c>
      <c r="H15" s="160" t="s">
        <v>434</v>
      </c>
      <c r="I15" s="161">
        <v>0</v>
      </c>
    </row>
    <row r="16" spans="2:9" ht="24">
      <c r="B16" s="164">
        <v>215</v>
      </c>
      <c r="C16" s="167" t="s">
        <v>440</v>
      </c>
      <c r="D16" s="166">
        <f>('Plan de financement initial'!D25+'Plan de financement initial'!D24+'Plan de financement initial'!D26)/1.2</f>
        <v>7500</v>
      </c>
      <c r="E16" s="166">
        <f>D16/5</f>
        <v>1500</v>
      </c>
      <c r="F16" s="166">
        <f t="shared" si="2"/>
        <v>6000</v>
      </c>
      <c r="G16" s="255" t="s">
        <v>410</v>
      </c>
      <c r="H16" s="256"/>
      <c r="I16" s="150">
        <f>SUM(I7:I15)</f>
        <v>26755.823803753567</v>
      </c>
    </row>
    <row r="17" spans="2:9">
      <c r="B17" s="164">
        <v>218</v>
      </c>
      <c r="C17" s="165" t="s">
        <v>413</v>
      </c>
      <c r="D17" s="166">
        <f>('Plan de financement initial'!D23)/1.2</f>
        <v>32500</v>
      </c>
      <c r="E17" s="166">
        <f>D17/5</f>
        <v>6500</v>
      </c>
      <c r="F17" s="166">
        <f t="shared" si="2"/>
        <v>26000</v>
      </c>
      <c r="G17" s="159">
        <v>151</v>
      </c>
      <c r="H17" s="160" t="s">
        <v>411</v>
      </c>
      <c r="I17" s="161">
        <v>0</v>
      </c>
    </row>
    <row r="18" spans="2:9">
      <c r="B18" s="156"/>
      <c r="C18" s="157" t="s">
        <v>415</v>
      </c>
      <c r="D18" s="158">
        <f>SUM(D19:D23)</f>
        <v>0</v>
      </c>
      <c r="E18" s="158">
        <f t="shared" ref="E18" si="3">SUM(E19:E23)</f>
        <v>0</v>
      </c>
      <c r="F18" s="158">
        <f>D18-E18</f>
        <v>0</v>
      </c>
      <c r="G18" s="159">
        <v>157</v>
      </c>
      <c r="H18" s="160" t="s">
        <v>412</v>
      </c>
      <c r="I18" s="161">
        <v>0</v>
      </c>
    </row>
    <row r="19" spans="2:9" ht="14.4" customHeight="1">
      <c r="B19" s="164">
        <v>261</v>
      </c>
      <c r="C19" s="165" t="s">
        <v>441</v>
      </c>
      <c r="D19" s="166">
        <v>0</v>
      </c>
      <c r="E19" s="166">
        <v>0</v>
      </c>
      <c r="F19" s="166">
        <f>D19-E19</f>
        <v>0</v>
      </c>
      <c r="G19" s="159">
        <v>158</v>
      </c>
      <c r="H19" s="160" t="s">
        <v>435</v>
      </c>
      <c r="I19" s="161">
        <v>0</v>
      </c>
    </row>
    <row r="20" spans="2:9">
      <c r="B20" s="164">
        <v>267</v>
      </c>
      <c r="C20" s="165" t="s">
        <v>416</v>
      </c>
      <c r="D20" s="166">
        <v>0</v>
      </c>
      <c r="E20" s="166">
        <v>0</v>
      </c>
      <c r="F20" s="166">
        <f t="shared" ref="F20:F23" si="4">D20-E20</f>
        <v>0</v>
      </c>
      <c r="G20" s="255" t="s">
        <v>414</v>
      </c>
      <c r="H20" s="256"/>
      <c r="I20" s="150">
        <f>SUM(I17:I19)</f>
        <v>0</v>
      </c>
    </row>
    <row r="21" spans="2:9" ht="15.6">
      <c r="B21" s="164">
        <v>271</v>
      </c>
      <c r="C21" s="165" t="s">
        <v>442</v>
      </c>
      <c r="D21" s="166">
        <v>0</v>
      </c>
      <c r="E21" s="166">
        <v>0</v>
      </c>
      <c r="F21" s="166">
        <f t="shared" si="4"/>
        <v>0</v>
      </c>
      <c r="G21" s="259" t="s">
        <v>480</v>
      </c>
      <c r="H21" s="260"/>
      <c r="I21" s="155" t="s">
        <v>395</v>
      </c>
    </row>
    <row r="22" spans="2:9">
      <c r="B22" s="164">
        <v>274</v>
      </c>
      <c r="C22" s="165" t="s">
        <v>418</v>
      </c>
      <c r="D22" s="166">
        <v>0</v>
      </c>
      <c r="E22" s="166">
        <v>0</v>
      </c>
      <c r="F22" s="166" t="s">
        <v>487</v>
      </c>
      <c r="G22" s="149">
        <v>163</v>
      </c>
      <c r="H22" s="162" t="s">
        <v>462</v>
      </c>
      <c r="I22" s="148">
        <v>0</v>
      </c>
    </row>
    <row r="23" spans="2:9">
      <c r="B23" s="164">
        <v>276</v>
      </c>
      <c r="C23" s="165" t="s">
        <v>443</v>
      </c>
      <c r="D23" s="166">
        <f>'Plan de financement initial'!D30+'Plan de financement initial'!D31</f>
        <v>0</v>
      </c>
      <c r="E23" s="166">
        <v>0</v>
      </c>
      <c r="F23" s="166">
        <f t="shared" si="4"/>
        <v>0</v>
      </c>
      <c r="G23" s="149">
        <v>164</v>
      </c>
      <c r="H23" s="162" t="s">
        <v>436</v>
      </c>
      <c r="I23" s="148">
        <f>Emprunt!J29</f>
        <v>30108.003767891809</v>
      </c>
    </row>
    <row r="24" spans="2:9">
      <c r="B24" s="257" t="s">
        <v>410</v>
      </c>
      <c r="C24" s="258"/>
      <c r="D24" s="151">
        <f>D7+D13+D18</f>
        <v>41666.666666666664</v>
      </c>
      <c r="E24" s="151">
        <f>E7+E13+E18</f>
        <v>8416.6666666666661</v>
      </c>
      <c r="F24" s="151">
        <f>F7+F13+F18</f>
        <v>33250</v>
      </c>
      <c r="G24" s="149">
        <v>166</v>
      </c>
      <c r="H24" s="162" t="s">
        <v>437</v>
      </c>
      <c r="I24" s="148">
        <v>0</v>
      </c>
    </row>
    <row r="25" spans="2:9" ht="15.6">
      <c r="B25" s="261" t="s">
        <v>420</v>
      </c>
      <c r="C25" s="272"/>
      <c r="D25" s="154" t="s">
        <v>394</v>
      </c>
      <c r="E25" s="168" t="s">
        <v>458</v>
      </c>
      <c r="F25" s="154" t="s">
        <v>395</v>
      </c>
      <c r="G25" s="149">
        <v>168</v>
      </c>
      <c r="H25" s="162" t="s">
        <v>438</v>
      </c>
      <c r="I25" s="148">
        <v>0</v>
      </c>
    </row>
    <row r="26" spans="2:9" ht="14.4" customHeight="1">
      <c r="B26" s="156">
        <v>31</v>
      </c>
      <c r="C26" s="157" t="s">
        <v>445</v>
      </c>
      <c r="D26" s="158">
        <v>0</v>
      </c>
      <c r="E26" s="158">
        <v>0</v>
      </c>
      <c r="F26" s="158">
        <f>D26-E26</f>
        <v>0</v>
      </c>
      <c r="G26" s="149" t="s">
        <v>450</v>
      </c>
      <c r="H26" s="162" t="s">
        <v>419</v>
      </c>
      <c r="I26" s="148">
        <v>0</v>
      </c>
    </row>
    <row r="27" spans="2:9">
      <c r="B27" s="156">
        <v>32</v>
      </c>
      <c r="C27" s="157" t="s">
        <v>446</v>
      </c>
      <c r="D27" s="158">
        <v>0</v>
      </c>
      <c r="E27" s="158">
        <v>0</v>
      </c>
      <c r="F27" s="158">
        <f t="shared" ref="F27:F35" si="5">D27-E27</f>
        <v>0</v>
      </c>
      <c r="G27" s="149">
        <v>404</v>
      </c>
      <c r="H27" s="162" t="s">
        <v>451</v>
      </c>
      <c r="I27" s="148">
        <v>0</v>
      </c>
    </row>
    <row r="28" spans="2:9">
      <c r="B28" s="156" t="s">
        <v>449</v>
      </c>
      <c r="C28" s="157" t="s">
        <v>447</v>
      </c>
      <c r="D28" s="158">
        <v>0</v>
      </c>
      <c r="E28" s="158">
        <v>0</v>
      </c>
      <c r="F28" s="158">
        <f t="shared" si="5"/>
        <v>0</v>
      </c>
      <c r="G28" s="149">
        <v>419</v>
      </c>
      <c r="H28" s="162" t="s">
        <v>417</v>
      </c>
      <c r="I28" s="148">
        <v>0</v>
      </c>
    </row>
    <row r="29" spans="2:9">
      <c r="B29" s="156">
        <v>35</v>
      </c>
      <c r="C29" s="157" t="s">
        <v>448</v>
      </c>
      <c r="D29" s="158">
        <v>0</v>
      </c>
      <c r="E29" s="158">
        <v>0</v>
      </c>
      <c r="F29" s="158">
        <f t="shared" si="5"/>
        <v>0</v>
      </c>
      <c r="G29" s="149">
        <v>42</v>
      </c>
      <c r="H29" s="162" t="s">
        <v>455</v>
      </c>
      <c r="I29" s="148">
        <v>0</v>
      </c>
    </row>
    <row r="30" spans="2:9">
      <c r="B30" s="156">
        <v>37</v>
      </c>
      <c r="C30" s="157" t="s">
        <v>461</v>
      </c>
      <c r="D30" s="158">
        <v>0</v>
      </c>
      <c r="E30" s="158">
        <v>0</v>
      </c>
      <c r="F30" s="158">
        <f t="shared" si="5"/>
        <v>0</v>
      </c>
      <c r="G30" s="149">
        <v>43</v>
      </c>
      <c r="H30" s="162" t="s">
        <v>457</v>
      </c>
      <c r="I30" s="148">
        <v>0</v>
      </c>
    </row>
    <row r="31" spans="2:9">
      <c r="B31" s="156">
        <v>409</v>
      </c>
      <c r="C31" s="157" t="s">
        <v>454</v>
      </c>
      <c r="D31" s="158">
        <v>0</v>
      </c>
      <c r="E31" s="158">
        <v>0</v>
      </c>
      <c r="F31" s="158">
        <f t="shared" si="5"/>
        <v>0</v>
      </c>
      <c r="G31" s="149">
        <v>44</v>
      </c>
      <c r="H31" s="162" t="s">
        <v>456</v>
      </c>
      <c r="I31" s="148">
        <f>'Trésorerie année 1'!M47+'CR pluriannuel '!D11</f>
        <v>1892.5445695027347</v>
      </c>
    </row>
    <row r="32" spans="2:9" ht="28.8">
      <c r="B32" s="169" t="s">
        <v>453</v>
      </c>
      <c r="C32" s="157" t="s">
        <v>452</v>
      </c>
      <c r="D32" s="158">
        <v>0</v>
      </c>
      <c r="E32" s="158">
        <v>0</v>
      </c>
      <c r="F32" s="158">
        <f t="shared" si="5"/>
        <v>0</v>
      </c>
      <c r="G32" s="149">
        <v>46</v>
      </c>
      <c r="H32" s="162" t="s">
        <v>421</v>
      </c>
      <c r="I32" s="148">
        <v>0</v>
      </c>
    </row>
    <row r="33" spans="2:9">
      <c r="B33" s="156">
        <v>50</v>
      </c>
      <c r="C33" s="157" t="s">
        <v>424</v>
      </c>
      <c r="D33" s="158">
        <v>0</v>
      </c>
      <c r="E33" s="158">
        <v>0</v>
      </c>
      <c r="F33" s="158">
        <f t="shared" si="5"/>
        <v>0</v>
      </c>
      <c r="G33" s="149">
        <v>487</v>
      </c>
      <c r="H33" s="162" t="s">
        <v>422</v>
      </c>
      <c r="I33" s="148">
        <v>0</v>
      </c>
    </row>
    <row r="34" spans="2:9">
      <c r="B34" s="156" t="s">
        <v>460</v>
      </c>
      <c r="C34" s="157" t="s">
        <v>425</v>
      </c>
      <c r="D34" s="158">
        <f>'Trésorerie année 1'!M51</f>
        <v>25506.372141148135</v>
      </c>
      <c r="E34" s="158">
        <v>0</v>
      </c>
      <c r="F34" s="158">
        <f t="shared" si="5"/>
        <v>25506.372141148135</v>
      </c>
      <c r="G34" s="149"/>
      <c r="H34" s="162"/>
      <c r="I34" s="148"/>
    </row>
    <row r="35" spans="2:9">
      <c r="B35" s="156">
        <v>486</v>
      </c>
      <c r="C35" s="157" t="s">
        <v>426</v>
      </c>
      <c r="D35" s="158"/>
      <c r="E35" s="158">
        <v>0</v>
      </c>
      <c r="F35" s="158">
        <f t="shared" si="5"/>
        <v>0</v>
      </c>
      <c r="G35" s="149"/>
      <c r="H35" s="162"/>
      <c r="I35" s="148"/>
    </row>
    <row r="36" spans="2:9" ht="15" thickBot="1">
      <c r="B36" s="270" t="s">
        <v>414</v>
      </c>
      <c r="C36" s="271"/>
      <c r="D36" s="152">
        <f>SUM(D26:D35)</f>
        <v>25506.372141148135</v>
      </c>
      <c r="E36" s="152">
        <f>SUM(E26:E35)</f>
        <v>0</v>
      </c>
      <c r="F36" s="152">
        <f>SUM(F26:F35)</f>
        <v>25506.372141148135</v>
      </c>
      <c r="G36" s="266" t="s">
        <v>423</v>
      </c>
      <c r="H36" s="267"/>
      <c r="I36" s="150">
        <f>SUM(I22:I33)</f>
        <v>32000.548337394543</v>
      </c>
    </row>
    <row r="37" spans="2:9" ht="18.600000000000001" thickBot="1">
      <c r="B37" s="268" t="s">
        <v>427</v>
      </c>
      <c r="C37" s="269"/>
      <c r="D37" s="153">
        <f>D24+D36</f>
        <v>67173.038807814795</v>
      </c>
      <c r="E37" s="153">
        <f>E24+E36</f>
        <v>8416.6666666666661</v>
      </c>
      <c r="F37" s="153">
        <f>F24+F36</f>
        <v>58756.372141148138</v>
      </c>
      <c r="G37" s="264" t="s">
        <v>428</v>
      </c>
      <c r="H37" s="265"/>
      <c r="I37" s="171">
        <f>I16+I20+I36</f>
        <v>58756.372141148109</v>
      </c>
    </row>
    <row r="38" spans="2:9">
      <c r="B38" s="145"/>
      <c r="C38" s="145"/>
      <c r="D38" s="145"/>
      <c r="E38" s="145"/>
      <c r="F38" s="145"/>
      <c r="G38" s="145"/>
      <c r="H38" s="146"/>
      <c r="I38" s="145"/>
    </row>
    <row r="39" spans="2:9">
      <c r="B39" s="145"/>
      <c r="C39" s="145"/>
      <c r="D39" s="145"/>
      <c r="E39" s="145"/>
      <c r="F39" s="145"/>
      <c r="G39" s="145"/>
      <c r="I39" s="170">
        <f>F37-I37</f>
        <v>0</v>
      </c>
    </row>
    <row r="41" spans="2:9">
      <c r="H41" s="147" t="s">
        <v>429</v>
      </c>
    </row>
  </sheetData>
  <mergeCells count="14">
    <mergeCell ref="G37:H37"/>
    <mergeCell ref="G16:H16"/>
    <mergeCell ref="G36:H36"/>
    <mergeCell ref="B37:C37"/>
    <mergeCell ref="B36:C36"/>
    <mergeCell ref="B25:C25"/>
    <mergeCell ref="D2:G3"/>
    <mergeCell ref="G5:I5"/>
    <mergeCell ref="B5:F5"/>
    <mergeCell ref="G20:H20"/>
    <mergeCell ref="B24:C24"/>
    <mergeCell ref="G21:H21"/>
    <mergeCell ref="B6:C6"/>
    <mergeCell ref="G6:H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B7209-B5D5-46A9-8CD6-DBBFDEFC13E1}">
  <dimension ref="B1:I41"/>
  <sheetViews>
    <sheetView topLeftCell="A5" workbookViewId="0">
      <selection activeCell="I31" sqref="I31"/>
    </sheetView>
  </sheetViews>
  <sheetFormatPr baseColWidth="10" defaultRowHeight="14.4"/>
  <cols>
    <col min="1" max="1" width="3.44140625" customWidth="1"/>
    <col min="2" max="2" width="11.44140625" customWidth="1"/>
    <col min="3" max="3" width="34.6640625" bestFit="1" customWidth="1"/>
    <col min="4" max="4" width="15" bestFit="1" customWidth="1"/>
    <col min="5" max="5" width="17.21875" bestFit="1" customWidth="1"/>
    <col min="6" max="6" width="15" bestFit="1" customWidth="1"/>
    <col min="7" max="7" width="10.77734375" customWidth="1"/>
    <col min="8" max="8" width="40.5546875" bestFit="1" customWidth="1"/>
    <col min="9" max="9" width="15" bestFit="1" customWidth="1"/>
  </cols>
  <sheetData>
    <row r="1" spans="2:9" ht="15" thickBot="1"/>
    <row r="2" spans="2:9">
      <c r="D2" s="243" t="s">
        <v>488</v>
      </c>
      <c r="E2" s="244"/>
      <c r="F2" s="244"/>
      <c r="G2" s="245"/>
    </row>
    <row r="3" spans="2:9" ht="15" thickBot="1">
      <c r="D3" s="246"/>
      <c r="E3" s="247"/>
      <c r="F3" s="247"/>
      <c r="G3" s="248"/>
    </row>
    <row r="5" spans="2:9" ht="23.4">
      <c r="B5" s="252" t="s">
        <v>393</v>
      </c>
      <c r="C5" s="253"/>
      <c r="D5" s="253"/>
      <c r="E5" s="253"/>
      <c r="F5" s="254"/>
      <c r="G5" s="249" t="s">
        <v>396</v>
      </c>
      <c r="H5" s="250"/>
      <c r="I5" s="251"/>
    </row>
    <row r="6" spans="2:9" ht="31.2">
      <c r="B6" s="261" t="s">
        <v>397</v>
      </c>
      <c r="C6" s="262"/>
      <c r="D6" s="154" t="s">
        <v>394</v>
      </c>
      <c r="E6" s="168" t="s">
        <v>444</v>
      </c>
      <c r="F6" s="154" t="s">
        <v>395</v>
      </c>
      <c r="G6" s="259" t="s">
        <v>398</v>
      </c>
      <c r="H6" s="263"/>
      <c r="I6" s="155" t="s">
        <v>395</v>
      </c>
    </row>
    <row r="7" spans="2:9">
      <c r="B7" s="156">
        <v>20</v>
      </c>
      <c r="C7" s="157" t="s">
        <v>399</v>
      </c>
      <c r="D7" s="158">
        <f>SUM(D8:D12)</f>
        <v>1666.6666666666667</v>
      </c>
      <c r="E7" s="158">
        <f t="shared" ref="E7" si="0">SUM(E8:E12)</f>
        <v>833.33333333333337</v>
      </c>
      <c r="F7" s="158">
        <f>D7-E7</f>
        <v>833.33333333333337</v>
      </c>
      <c r="G7" s="159">
        <v>101</v>
      </c>
      <c r="H7" s="160" t="s">
        <v>400</v>
      </c>
      <c r="I7" s="161">
        <f>'Plan de financement initial'!H7</f>
        <v>22000</v>
      </c>
    </row>
    <row r="8" spans="2:9">
      <c r="B8" s="164">
        <v>201</v>
      </c>
      <c r="C8" s="165" t="s">
        <v>290</v>
      </c>
      <c r="D8" s="166">
        <f>('Plan de financement initial'!D7)/1.2</f>
        <v>1041.6666666666667</v>
      </c>
      <c r="E8" s="166">
        <f>(D8/5)*2</f>
        <v>416.66666666666669</v>
      </c>
      <c r="F8" s="166">
        <f>D8-E8</f>
        <v>625</v>
      </c>
      <c r="G8" s="159">
        <v>1061</v>
      </c>
      <c r="H8" s="160" t="s">
        <v>401</v>
      </c>
      <c r="I8" s="161">
        <f>'Bilan année 1'!I13</f>
        <v>4755.8238037535657</v>
      </c>
    </row>
    <row r="9" spans="2:9">
      <c r="B9" s="164">
        <v>203</v>
      </c>
      <c r="C9" s="165" t="s">
        <v>439</v>
      </c>
      <c r="D9" s="166">
        <v>0</v>
      </c>
      <c r="E9" s="166">
        <v>0</v>
      </c>
      <c r="F9" s="166">
        <f t="shared" ref="F9:F12" si="1">D9-E9</f>
        <v>0</v>
      </c>
      <c r="G9" s="159">
        <v>1063</v>
      </c>
      <c r="H9" s="160" t="s">
        <v>403</v>
      </c>
      <c r="I9" s="161">
        <v>0</v>
      </c>
    </row>
    <row r="10" spans="2:9">
      <c r="B10" s="164">
        <v>205</v>
      </c>
      <c r="C10" s="165" t="s">
        <v>402</v>
      </c>
      <c r="D10" s="166">
        <f>'Plan de financement initial'!D16</f>
        <v>0</v>
      </c>
      <c r="E10" s="166">
        <v>0</v>
      </c>
      <c r="F10" s="166">
        <f t="shared" si="1"/>
        <v>0</v>
      </c>
      <c r="G10" s="159">
        <v>1064</v>
      </c>
      <c r="H10" s="160" t="s">
        <v>430</v>
      </c>
      <c r="I10" s="161">
        <v>0</v>
      </c>
    </row>
    <row r="11" spans="2:9">
      <c r="B11" s="164">
        <v>207</v>
      </c>
      <c r="C11" s="165" t="s">
        <v>404</v>
      </c>
      <c r="D11" s="166">
        <f>'Plan de financement initial'!D19</f>
        <v>0</v>
      </c>
      <c r="E11" s="166">
        <v>0</v>
      </c>
      <c r="F11" s="166">
        <f t="shared" si="1"/>
        <v>0</v>
      </c>
      <c r="G11" s="159">
        <v>1068</v>
      </c>
      <c r="H11" s="160" t="s">
        <v>431</v>
      </c>
      <c r="I11" s="161">
        <v>0</v>
      </c>
    </row>
    <row r="12" spans="2:9">
      <c r="B12" s="164">
        <v>208</v>
      </c>
      <c r="C12" s="165" t="s">
        <v>405</v>
      </c>
      <c r="D12" s="166">
        <f>('Plan de financement initial'!D17+'Plan de financement initial'!D18)/1.2</f>
        <v>625</v>
      </c>
      <c r="E12" s="166">
        <f>(D12/3)*2</f>
        <v>416.66666666666669</v>
      </c>
      <c r="F12" s="166">
        <f t="shared" si="1"/>
        <v>208.33333333333331</v>
      </c>
      <c r="G12" s="159">
        <v>11</v>
      </c>
      <c r="H12" s="160" t="s">
        <v>432</v>
      </c>
      <c r="I12" s="161">
        <v>0</v>
      </c>
    </row>
    <row r="13" spans="2:9">
      <c r="B13" s="156">
        <v>21</v>
      </c>
      <c r="C13" s="157" t="s">
        <v>406</v>
      </c>
      <c r="D13" s="158">
        <f>SUM(D14:D17)</f>
        <v>40000</v>
      </c>
      <c r="E13" s="158">
        <f>SUM(E14:E17)</f>
        <v>16000</v>
      </c>
      <c r="F13" s="158">
        <f>D13-E13</f>
        <v>24000</v>
      </c>
      <c r="G13" s="159">
        <v>12</v>
      </c>
      <c r="H13" s="160" t="s">
        <v>407</v>
      </c>
      <c r="I13" s="161">
        <f>'CR pluriannuel '!E10</f>
        <v>12936.971834328866</v>
      </c>
    </row>
    <row r="14" spans="2:9">
      <c r="B14" s="164">
        <v>211</v>
      </c>
      <c r="C14" s="165" t="s">
        <v>408</v>
      </c>
      <c r="D14" s="166">
        <f>'Plan de financement initial'!D27</f>
        <v>0</v>
      </c>
      <c r="E14" s="166">
        <v>0</v>
      </c>
      <c r="F14" s="166">
        <f>D14-E14</f>
        <v>0</v>
      </c>
      <c r="G14" s="159">
        <v>13</v>
      </c>
      <c r="H14" s="160" t="s">
        <v>433</v>
      </c>
      <c r="I14" s="161">
        <v>0</v>
      </c>
    </row>
    <row r="15" spans="2:9">
      <c r="B15" s="164">
        <v>213</v>
      </c>
      <c r="C15" s="165" t="s">
        <v>409</v>
      </c>
      <c r="D15" s="166">
        <f>'Plan de financement initial'!D28+'Plan de financement initial'!D22</f>
        <v>0</v>
      </c>
      <c r="E15" s="166">
        <v>0</v>
      </c>
      <c r="F15" s="166">
        <f t="shared" ref="F15:F17" si="2">D15-E15</f>
        <v>0</v>
      </c>
      <c r="G15" s="159">
        <v>14</v>
      </c>
      <c r="H15" s="160" t="s">
        <v>434</v>
      </c>
      <c r="I15" s="161">
        <v>0</v>
      </c>
    </row>
    <row r="16" spans="2:9" ht="24">
      <c r="B16" s="164">
        <v>215</v>
      </c>
      <c r="C16" s="167" t="s">
        <v>440</v>
      </c>
      <c r="D16" s="166">
        <f>('Plan de financement initial'!D25+'Plan de financement initial'!D24+'Plan de financement initial'!D26)/1.2</f>
        <v>7500</v>
      </c>
      <c r="E16" s="166">
        <f>(D16/5)*2</f>
        <v>3000</v>
      </c>
      <c r="F16" s="166">
        <f t="shared" si="2"/>
        <v>4500</v>
      </c>
      <c r="G16" s="255" t="s">
        <v>410</v>
      </c>
      <c r="H16" s="256"/>
      <c r="I16" s="150">
        <f>SUM(I7:I15)</f>
        <v>39692.795638082433</v>
      </c>
    </row>
    <row r="17" spans="2:9">
      <c r="B17" s="164">
        <v>218</v>
      </c>
      <c r="C17" s="165" t="s">
        <v>413</v>
      </c>
      <c r="D17" s="166">
        <f>('Plan de financement initial'!D23)/1.2</f>
        <v>32500</v>
      </c>
      <c r="E17" s="166">
        <f>(D17/5)*2</f>
        <v>13000</v>
      </c>
      <c r="F17" s="166">
        <f t="shared" si="2"/>
        <v>19500</v>
      </c>
      <c r="G17" s="159">
        <v>151</v>
      </c>
      <c r="H17" s="160" t="s">
        <v>411</v>
      </c>
      <c r="I17" s="161">
        <v>0</v>
      </c>
    </row>
    <row r="18" spans="2:9">
      <c r="B18" s="156"/>
      <c r="C18" s="157" t="s">
        <v>415</v>
      </c>
      <c r="D18" s="158">
        <f>SUM(D19:D23)</f>
        <v>0</v>
      </c>
      <c r="E18" s="158">
        <f t="shared" ref="E18" si="3">SUM(E19:E23)</f>
        <v>0</v>
      </c>
      <c r="F18" s="158">
        <f>D18-E18</f>
        <v>0</v>
      </c>
      <c r="G18" s="159">
        <v>157</v>
      </c>
      <c r="H18" s="160" t="s">
        <v>412</v>
      </c>
      <c r="I18" s="161">
        <v>0</v>
      </c>
    </row>
    <row r="19" spans="2:9" ht="14.4" customHeight="1">
      <c r="B19" s="164">
        <v>261</v>
      </c>
      <c r="C19" s="165" t="s">
        <v>441</v>
      </c>
      <c r="D19" s="166">
        <v>0</v>
      </c>
      <c r="E19" s="166">
        <v>0</v>
      </c>
      <c r="F19" s="166">
        <f>D19-E19</f>
        <v>0</v>
      </c>
      <c r="G19" s="159">
        <v>158</v>
      </c>
      <c r="H19" s="160" t="s">
        <v>435</v>
      </c>
      <c r="I19" s="161">
        <v>0</v>
      </c>
    </row>
    <row r="20" spans="2:9">
      <c r="B20" s="164">
        <v>267</v>
      </c>
      <c r="C20" s="165" t="s">
        <v>416</v>
      </c>
      <c r="D20" s="166">
        <v>0</v>
      </c>
      <c r="E20" s="166">
        <v>0</v>
      </c>
      <c r="F20" s="166">
        <f t="shared" ref="F20:F23" si="4">D20-E20</f>
        <v>0</v>
      </c>
      <c r="G20" s="255" t="s">
        <v>414</v>
      </c>
      <c r="H20" s="256"/>
      <c r="I20" s="150">
        <f>SUM(I17:I19)</f>
        <v>0</v>
      </c>
    </row>
    <row r="21" spans="2:9" ht="15.6">
      <c r="B21" s="164">
        <v>271</v>
      </c>
      <c r="C21" s="165" t="s">
        <v>442</v>
      </c>
      <c r="D21" s="166">
        <v>0</v>
      </c>
      <c r="E21" s="166">
        <v>0</v>
      </c>
      <c r="F21" s="166">
        <f t="shared" si="4"/>
        <v>0</v>
      </c>
      <c r="G21" s="259" t="s">
        <v>480</v>
      </c>
      <c r="H21" s="260"/>
      <c r="I21" s="155" t="s">
        <v>395</v>
      </c>
    </row>
    <row r="22" spans="2:9">
      <c r="B22" s="164">
        <v>274</v>
      </c>
      <c r="C22" s="165" t="s">
        <v>418</v>
      </c>
      <c r="D22" s="166">
        <v>0</v>
      </c>
      <c r="E22" s="166">
        <v>0</v>
      </c>
      <c r="F22" s="166" t="s">
        <v>487</v>
      </c>
      <c r="G22" s="149">
        <v>163</v>
      </c>
      <c r="H22" s="162" t="s">
        <v>462</v>
      </c>
      <c r="I22" s="148">
        <v>0</v>
      </c>
    </row>
    <row r="23" spans="2:9">
      <c r="B23" s="164">
        <v>276</v>
      </c>
      <c r="C23" s="165" t="s">
        <v>443</v>
      </c>
      <c r="D23" s="166">
        <f>'Plan de financement initial'!D30+'Plan de financement initial'!D31</f>
        <v>0</v>
      </c>
      <c r="E23" s="166">
        <v>0</v>
      </c>
      <c r="F23" s="166">
        <f t="shared" si="4"/>
        <v>0</v>
      </c>
      <c r="G23" s="149">
        <v>164</v>
      </c>
      <c r="H23" s="162" t="s">
        <v>436</v>
      </c>
      <c r="I23" s="148">
        <f>Emprunt!J41</f>
        <v>22970.880230092411</v>
      </c>
    </row>
    <row r="24" spans="2:9">
      <c r="B24" s="257" t="s">
        <v>410</v>
      </c>
      <c r="C24" s="258"/>
      <c r="D24" s="151">
        <f>D7+D13+D18</f>
        <v>41666.666666666664</v>
      </c>
      <c r="E24" s="151">
        <f>E7+E13+E18</f>
        <v>16833.333333333332</v>
      </c>
      <c r="F24" s="151">
        <f>F7+F13+F18</f>
        <v>24833.333333333332</v>
      </c>
      <c r="G24" s="149">
        <v>166</v>
      </c>
      <c r="H24" s="162" t="s">
        <v>437</v>
      </c>
      <c r="I24" s="148">
        <v>0</v>
      </c>
    </row>
    <row r="25" spans="2:9" ht="15.6">
      <c r="B25" s="261" t="s">
        <v>420</v>
      </c>
      <c r="C25" s="272"/>
      <c r="D25" s="154" t="s">
        <v>394</v>
      </c>
      <c r="E25" s="168" t="s">
        <v>458</v>
      </c>
      <c r="F25" s="154" t="s">
        <v>395</v>
      </c>
      <c r="G25" s="149">
        <v>168</v>
      </c>
      <c r="H25" s="162" t="s">
        <v>438</v>
      </c>
      <c r="I25" s="148">
        <v>0</v>
      </c>
    </row>
    <row r="26" spans="2:9" ht="14.4" customHeight="1">
      <c r="B26" s="156">
        <v>31</v>
      </c>
      <c r="C26" s="157" t="s">
        <v>445</v>
      </c>
      <c r="D26" s="158">
        <v>0</v>
      </c>
      <c r="E26" s="158">
        <v>0</v>
      </c>
      <c r="F26" s="158">
        <f>D26-E26</f>
        <v>0</v>
      </c>
      <c r="G26" s="149" t="s">
        <v>450</v>
      </c>
      <c r="H26" s="162" t="s">
        <v>419</v>
      </c>
      <c r="I26" s="148">
        <v>0</v>
      </c>
    </row>
    <row r="27" spans="2:9">
      <c r="B27" s="156">
        <v>32</v>
      </c>
      <c r="C27" s="157" t="s">
        <v>446</v>
      </c>
      <c r="D27" s="158">
        <v>0</v>
      </c>
      <c r="E27" s="158">
        <v>0</v>
      </c>
      <c r="F27" s="158">
        <f t="shared" ref="F27:F35" si="5">D27-E27</f>
        <v>0</v>
      </c>
      <c r="G27" s="149">
        <v>404</v>
      </c>
      <c r="H27" s="162" t="s">
        <v>451</v>
      </c>
      <c r="I27" s="148">
        <v>0</v>
      </c>
    </row>
    <row r="28" spans="2:9">
      <c r="B28" s="156" t="s">
        <v>449</v>
      </c>
      <c r="C28" s="157" t="s">
        <v>447</v>
      </c>
      <c r="D28" s="158">
        <v>0</v>
      </c>
      <c r="E28" s="158">
        <v>0</v>
      </c>
      <c r="F28" s="158">
        <f t="shared" si="5"/>
        <v>0</v>
      </c>
      <c r="G28" s="149">
        <v>419</v>
      </c>
      <c r="H28" s="162" t="s">
        <v>417</v>
      </c>
      <c r="I28" s="148">
        <v>0</v>
      </c>
    </row>
    <row r="29" spans="2:9">
      <c r="B29" s="156">
        <v>35</v>
      </c>
      <c r="C29" s="157" t="s">
        <v>448</v>
      </c>
      <c r="D29" s="158">
        <v>0</v>
      </c>
      <c r="E29" s="158">
        <v>0</v>
      </c>
      <c r="F29" s="158">
        <f t="shared" si="5"/>
        <v>0</v>
      </c>
      <c r="G29" s="149">
        <v>42</v>
      </c>
      <c r="H29" s="162" t="s">
        <v>455</v>
      </c>
      <c r="I29" s="148">
        <v>0</v>
      </c>
    </row>
    <row r="30" spans="2:9">
      <c r="B30" s="156">
        <v>37</v>
      </c>
      <c r="C30" s="157" t="s">
        <v>461</v>
      </c>
      <c r="D30" s="158">
        <v>0</v>
      </c>
      <c r="E30" s="158">
        <v>0</v>
      </c>
      <c r="F30" s="158">
        <f t="shared" si="5"/>
        <v>0</v>
      </c>
      <c r="G30" s="149">
        <v>43</v>
      </c>
      <c r="H30" s="162" t="s">
        <v>457</v>
      </c>
      <c r="I30" s="148">
        <v>0</v>
      </c>
    </row>
    <row r="31" spans="2:9">
      <c r="B31" s="156">
        <v>409</v>
      </c>
      <c r="C31" s="157" t="s">
        <v>454</v>
      </c>
      <c r="D31" s="158">
        <v>0</v>
      </c>
      <c r="E31" s="158">
        <v>0</v>
      </c>
      <c r="F31" s="158">
        <f t="shared" si="5"/>
        <v>0</v>
      </c>
      <c r="G31" s="149">
        <v>44</v>
      </c>
      <c r="H31" s="162" t="s">
        <v>456</v>
      </c>
      <c r="I31" s="148">
        <f>'Trésorerie année 2'!M47+'CR pluriannuel '!E11</f>
        <v>3498.2673464318391</v>
      </c>
    </row>
    <row r="32" spans="2:9" ht="28.8">
      <c r="B32" s="169" t="s">
        <v>453</v>
      </c>
      <c r="C32" s="157" t="s">
        <v>452</v>
      </c>
      <c r="D32" s="158">
        <v>0</v>
      </c>
      <c r="E32" s="158">
        <v>0</v>
      </c>
      <c r="F32" s="158">
        <f t="shared" si="5"/>
        <v>0</v>
      </c>
      <c r="G32" s="149">
        <v>46</v>
      </c>
      <c r="H32" s="162" t="s">
        <v>421</v>
      </c>
      <c r="I32" s="148">
        <v>0</v>
      </c>
    </row>
    <row r="33" spans="2:9">
      <c r="B33" s="156">
        <v>50</v>
      </c>
      <c r="C33" s="157" t="s">
        <v>424</v>
      </c>
      <c r="D33" s="158">
        <v>0</v>
      </c>
      <c r="E33" s="158">
        <v>0</v>
      </c>
      <c r="F33" s="158">
        <f t="shared" si="5"/>
        <v>0</v>
      </c>
      <c r="G33" s="149">
        <v>487</v>
      </c>
      <c r="H33" s="162" t="s">
        <v>422</v>
      </c>
      <c r="I33" s="148">
        <v>0</v>
      </c>
    </row>
    <row r="34" spans="2:9">
      <c r="B34" s="156" t="s">
        <v>460</v>
      </c>
      <c r="C34" s="157" t="s">
        <v>425</v>
      </c>
      <c r="D34" s="158">
        <f>'Trésorerie année 2'!M51</f>
        <v>41328.609881273398</v>
      </c>
      <c r="E34" s="158">
        <v>0</v>
      </c>
      <c r="F34" s="158">
        <f t="shared" si="5"/>
        <v>41328.609881273398</v>
      </c>
      <c r="G34" s="149"/>
      <c r="H34" s="162"/>
      <c r="I34" s="148"/>
    </row>
    <row r="35" spans="2:9">
      <c r="B35" s="156">
        <v>486</v>
      </c>
      <c r="C35" s="157" t="s">
        <v>426</v>
      </c>
      <c r="D35" s="158"/>
      <c r="E35" s="158">
        <v>0</v>
      </c>
      <c r="F35" s="158">
        <f t="shared" si="5"/>
        <v>0</v>
      </c>
      <c r="G35" s="149"/>
      <c r="H35" s="162"/>
      <c r="I35" s="148"/>
    </row>
    <row r="36" spans="2:9" ht="15" thickBot="1">
      <c r="B36" s="270" t="s">
        <v>414</v>
      </c>
      <c r="C36" s="271"/>
      <c r="D36" s="152">
        <f>SUM(D26:D35)</f>
        <v>41328.609881273398</v>
      </c>
      <c r="E36" s="152">
        <f>SUM(E26:E35)</f>
        <v>0</v>
      </c>
      <c r="F36" s="152">
        <f>SUM(F26:F35)</f>
        <v>41328.609881273398</v>
      </c>
      <c r="G36" s="266" t="s">
        <v>423</v>
      </c>
      <c r="H36" s="267"/>
      <c r="I36" s="150">
        <f>SUM(I22:I33)</f>
        <v>26469.14757652425</v>
      </c>
    </row>
    <row r="37" spans="2:9" ht="18.600000000000001" thickBot="1">
      <c r="B37" s="268" t="s">
        <v>427</v>
      </c>
      <c r="C37" s="269"/>
      <c r="D37" s="153">
        <f>D24+D36</f>
        <v>82995.27654794007</v>
      </c>
      <c r="E37" s="153">
        <f>E24+E36</f>
        <v>16833.333333333332</v>
      </c>
      <c r="F37" s="153">
        <f>F24+F36</f>
        <v>66161.943214606727</v>
      </c>
      <c r="G37" s="264" t="s">
        <v>428</v>
      </c>
      <c r="H37" s="265"/>
      <c r="I37" s="171">
        <f>I16+I20+I36</f>
        <v>66161.943214606683</v>
      </c>
    </row>
    <row r="38" spans="2:9">
      <c r="B38" s="145"/>
      <c r="C38" s="145"/>
      <c r="D38" s="145"/>
      <c r="E38" s="145"/>
      <c r="F38" s="145"/>
      <c r="G38" s="145"/>
      <c r="H38" s="146"/>
      <c r="I38" s="145"/>
    </row>
    <row r="39" spans="2:9">
      <c r="B39" s="145"/>
      <c r="C39" s="145"/>
      <c r="D39" s="145"/>
      <c r="E39" s="145"/>
      <c r="F39" s="145"/>
      <c r="G39" s="145"/>
      <c r="I39" s="170">
        <f>F37-I37</f>
        <v>0</v>
      </c>
    </row>
    <row r="41" spans="2:9">
      <c r="H41" s="147" t="s">
        <v>429</v>
      </c>
    </row>
  </sheetData>
  <mergeCells count="14">
    <mergeCell ref="G16:H16"/>
    <mergeCell ref="D2:G3"/>
    <mergeCell ref="B5:F5"/>
    <mergeCell ref="G5:I5"/>
    <mergeCell ref="B6:C6"/>
    <mergeCell ref="G6:H6"/>
    <mergeCell ref="B37:C37"/>
    <mergeCell ref="G37:H37"/>
    <mergeCell ref="G20:H20"/>
    <mergeCell ref="G21:H21"/>
    <mergeCell ref="B24:C24"/>
    <mergeCell ref="B25:C25"/>
    <mergeCell ref="B36:C36"/>
    <mergeCell ref="G36:H3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EA33-AD39-4E51-9C57-CECAB82429EA}">
  <dimension ref="B1:I41"/>
  <sheetViews>
    <sheetView topLeftCell="A5" workbookViewId="0">
      <selection activeCell="J30" sqref="J30"/>
    </sheetView>
  </sheetViews>
  <sheetFormatPr baseColWidth="10" defaultRowHeight="14.4"/>
  <cols>
    <col min="1" max="1" width="3.44140625" customWidth="1"/>
    <col min="2" max="2" width="11.44140625" customWidth="1"/>
    <col min="3" max="3" width="34.6640625" bestFit="1" customWidth="1"/>
    <col min="4" max="4" width="16.44140625" bestFit="1" customWidth="1"/>
    <col min="5" max="5" width="17.21875" bestFit="1" customWidth="1"/>
    <col min="6" max="6" width="15" bestFit="1" customWidth="1"/>
    <col min="7" max="7" width="10.77734375" customWidth="1"/>
    <col min="8" max="8" width="40.5546875" bestFit="1" customWidth="1"/>
    <col min="9" max="9" width="15" bestFit="1" customWidth="1"/>
  </cols>
  <sheetData>
    <row r="1" spans="2:9" ht="15" thickBot="1"/>
    <row r="2" spans="2:9">
      <c r="D2" s="243" t="s">
        <v>489</v>
      </c>
      <c r="E2" s="244"/>
      <c r="F2" s="244"/>
      <c r="G2" s="245"/>
    </row>
    <row r="3" spans="2:9" ht="15" thickBot="1">
      <c r="D3" s="246"/>
      <c r="E3" s="247"/>
      <c r="F3" s="247"/>
      <c r="G3" s="248"/>
    </row>
    <row r="5" spans="2:9" ht="23.4">
      <c r="B5" s="252" t="s">
        <v>393</v>
      </c>
      <c r="C5" s="253"/>
      <c r="D5" s="253"/>
      <c r="E5" s="253"/>
      <c r="F5" s="254"/>
      <c r="G5" s="249" t="s">
        <v>396</v>
      </c>
      <c r="H5" s="250"/>
      <c r="I5" s="251"/>
    </row>
    <row r="6" spans="2:9" ht="31.2">
      <c r="B6" s="261" t="s">
        <v>397</v>
      </c>
      <c r="C6" s="262"/>
      <c r="D6" s="154" t="s">
        <v>394</v>
      </c>
      <c r="E6" s="168" t="s">
        <v>444</v>
      </c>
      <c r="F6" s="154" t="s">
        <v>395</v>
      </c>
      <c r="G6" s="259" t="s">
        <v>398</v>
      </c>
      <c r="H6" s="263"/>
      <c r="I6" s="155" t="s">
        <v>395</v>
      </c>
    </row>
    <row r="7" spans="2:9">
      <c r="B7" s="156">
        <v>20</v>
      </c>
      <c r="C7" s="157" t="s">
        <v>399</v>
      </c>
      <c r="D7" s="158">
        <f>SUM(D8:D12)</f>
        <v>1666.6666666666667</v>
      </c>
      <c r="E7" s="158">
        <f t="shared" ref="E7" si="0">SUM(E8:E12)</f>
        <v>1250</v>
      </c>
      <c r="F7" s="158">
        <f>D7-E7</f>
        <v>416.66666666666674</v>
      </c>
      <c r="G7" s="159">
        <v>101</v>
      </c>
      <c r="H7" s="160" t="s">
        <v>400</v>
      </c>
      <c r="I7" s="161">
        <f>'Plan de financement initial'!H7</f>
        <v>22000</v>
      </c>
    </row>
    <row r="8" spans="2:9">
      <c r="B8" s="164">
        <v>201</v>
      </c>
      <c r="C8" s="165" t="s">
        <v>290</v>
      </c>
      <c r="D8" s="166">
        <f>('Plan de financement initial'!D7)/1.2</f>
        <v>1041.6666666666667</v>
      </c>
      <c r="E8" s="166">
        <f>(D8/5)*3</f>
        <v>625</v>
      </c>
      <c r="F8" s="166">
        <f>D8-E8</f>
        <v>416.66666666666674</v>
      </c>
      <c r="G8" s="159">
        <v>1061</v>
      </c>
      <c r="H8" s="160" t="s">
        <v>401</v>
      </c>
      <c r="I8" s="161">
        <f>'Bilan année 2'!I8+'Bilan année 2'!I13</f>
        <v>17692.795638082433</v>
      </c>
    </row>
    <row r="9" spans="2:9">
      <c r="B9" s="164">
        <v>203</v>
      </c>
      <c r="C9" s="165" t="s">
        <v>439</v>
      </c>
      <c r="D9" s="166">
        <v>0</v>
      </c>
      <c r="E9" s="166">
        <v>0</v>
      </c>
      <c r="F9" s="166">
        <f t="shared" ref="F9:F12" si="1">D9-E9</f>
        <v>0</v>
      </c>
      <c r="G9" s="159">
        <v>1063</v>
      </c>
      <c r="H9" s="160" t="s">
        <v>403</v>
      </c>
      <c r="I9" s="161">
        <v>0</v>
      </c>
    </row>
    <row r="10" spans="2:9">
      <c r="B10" s="164">
        <v>205</v>
      </c>
      <c r="C10" s="165" t="s">
        <v>402</v>
      </c>
      <c r="D10" s="166">
        <f>'Plan de financement initial'!D16</f>
        <v>0</v>
      </c>
      <c r="E10" s="166">
        <v>0</v>
      </c>
      <c r="F10" s="166">
        <f t="shared" si="1"/>
        <v>0</v>
      </c>
      <c r="G10" s="159">
        <v>1064</v>
      </c>
      <c r="H10" s="160" t="s">
        <v>430</v>
      </c>
      <c r="I10" s="161">
        <v>0</v>
      </c>
    </row>
    <row r="11" spans="2:9">
      <c r="B11" s="164">
        <v>207</v>
      </c>
      <c r="C11" s="165" t="s">
        <v>404</v>
      </c>
      <c r="D11" s="166">
        <f>'Plan de financement initial'!D19</f>
        <v>0</v>
      </c>
      <c r="E11" s="166">
        <v>0</v>
      </c>
      <c r="F11" s="166">
        <f t="shared" si="1"/>
        <v>0</v>
      </c>
      <c r="G11" s="159">
        <v>1068</v>
      </c>
      <c r="H11" s="160" t="s">
        <v>431</v>
      </c>
      <c r="I11" s="161">
        <v>0</v>
      </c>
    </row>
    <row r="12" spans="2:9">
      <c r="B12" s="164">
        <v>208</v>
      </c>
      <c r="C12" s="165" t="s">
        <v>405</v>
      </c>
      <c r="D12" s="166">
        <f>('Plan de financement initial'!D17+'Plan de financement initial'!D18)/1.2</f>
        <v>625</v>
      </c>
      <c r="E12" s="166">
        <f>(D12/3)*3</f>
        <v>625</v>
      </c>
      <c r="F12" s="166">
        <f t="shared" si="1"/>
        <v>0</v>
      </c>
      <c r="G12" s="159">
        <v>11</v>
      </c>
      <c r="H12" s="160" t="s">
        <v>432</v>
      </c>
      <c r="I12" s="161">
        <v>0</v>
      </c>
    </row>
    <row r="13" spans="2:9">
      <c r="B13" s="156">
        <v>21</v>
      </c>
      <c r="C13" s="157" t="s">
        <v>406</v>
      </c>
      <c r="D13" s="158">
        <f>SUM(D14:D17)</f>
        <v>40000</v>
      </c>
      <c r="E13" s="158">
        <f>SUM(E14:E17)</f>
        <v>24000</v>
      </c>
      <c r="F13" s="158">
        <f>D13-E13</f>
        <v>16000</v>
      </c>
      <c r="G13" s="159">
        <v>12</v>
      </c>
      <c r="H13" s="160" t="s">
        <v>407</v>
      </c>
      <c r="I13" s="161">
        <f>'CR pluriannuel '!F10</f>
        <v>16454.420433449293</v>
      </c>
    </row>
    <row r="14" spans="2:9">
      <c r="B14" s="164">
        <v>211</v>
      </c>
      <c r="C14" s="165" t="s">
        <v>408</v>
      </c>
      <c r="D14" s="166">
        <f>'Plan de financement initial'!D27</f>
        <v>0</v>
      </c>
      <c r="E14" s="166">
        <v>0</v>
      </c>
      <c r="F14" s="166">
        <f>D14-E14</f>
        <v>0</v>
      </c>
      <c r="G14" s="159">
        <v>13</v>
      </c>
      <c r="H14" s="160" t="s">
        <v>433</v>
      </c>
      <c r="I14" s="161">
        <v>0</v>
      </c>
    </row>
    <row r="15" spans="2:9">
      <c r="B15" s="164">
        <v>213</v>
      </c>
      <c r="C15" s="165" t="s">
        <v>409</v>
      </c>
      <c r="D15" s="166">
        <f>'Plan de financement initial'!D28+'Plan de financement initial'!D22</f>
        <v>0</v>
      </c>
      <c r="E15" s="166">
        <v>0</v>
      </c>
      <c r="F15" s="166">
        <f t="shared" ref="F15:F17" si="2">D15-E15</f>
        <v>0</v>
      </c>
      <c r="G15" s="159">
        <v>14</v>
      </c>
      <c r="H15" s="160" t="s">
        <v>434</v>
      </c>
      <c r="I15" s="161">
        <v>0</v>
      </c>
    </row>
    <row r="16" spans="2:9" ht="24">
      <c r="B16" s="164">
        <v>215</v>
      </c>
      <c r="C16" s="167" t="s">
        <v>440</v>
      </c>
      <c r="D16" s="166">
        <f>('Plan de financement initial'!D25+'Plan de financement initial'!D24+'Plan de financement initial'!D26)/1.2</f>
        <v>7500</v>
      </c>
      <c r="E16" s="166">
        <f>(D16/5)*3</f>
        <v>4500</v>
      </c>
      <c r="F16" s="166">
        <f t="shared" si="2"/>
        <v>3000</v>
      </c>
      <c r="G16" s="255" t="s">
        <v>410</v>
      </c>
      <c r="H16" s="256"/>
      <c r="I16" s="150">
        <f>SUM(I7:I15)</f>
        <v>56147.21607153173</v>
      </c>
    </row>
    <row r="17" spans="2:9">
      <c r="B17" s="164">
        <v>218</v>
      </c>
      <c r="C17" s="165" t="s">
        <v>413</v>
      </c>
      <c r="D17" s="166">
        <f>('Plan de financement initial'!D23)/1.2</f>
        <v>32500</v>
      </c>
      <c r="E17" s="166">
        <f>(D17/5)*3</f>
        <v>19500</v>
      </c>
      <c r="F17" s="166">
        <f t="shared" si="2"/>
        <v>13000</v>
      </c>
      <c r="G17" s="159">
        <v>151</v>
      </c>
      <c r="H17" s="160" t="s">
        <v>411</v>
      </c>
      <c r="I17" s="161">
        <v>0</v>
      </c>
    </row>
    <row r="18" spans="2:9">
      <c r="B18" s="156"/>
      <c r="C18" s="157" t="s">
        <v>415</v>
      </c>
      <c r="D18" s="158">
        <f>SUM(D19:D23)</f>
        <v>0</v>
      </c>
      <c r="E18" s="158">
        <f t="shared" ref="E18" si="3">SUM(E19:E23)</f>
        <v>0</v>
      </c>
      <c r="F18" s="158">
        <f>D18-E18</f>
        <v>0</v>
      </c>
      <c r="G18" s="159">
        <v>157</v>
      </c>
      <c r="H18" s="160" t="s">
        <v>412</v>
      </c>
      <c r="I18" s="161">
        <v>0</v>
      </c>
    </row>
    <row r="19" spans="2:9" ht="14.4" customHeight="1">
      <c r="B19" s="164">
        <v>261</v>
      </c>
      <c r="C19" s="165" t="s">
        <v>441</v>
      </c>
      <c r="D19" s="166">
        <v>0</v>
      </c>
      <c r="E19" s="166">
        <v>0</v>
      </c>
      <c r="F19" s="166">
        <f>D19-E19</f>
        <v>0</v>
      </c>
      <c r="G19" s="159">
        <v>158</v>
      </c>
      <c r="H19" s="160" t="s">
        <v>435</v>
      </c>
      <c r="I19" s="161">
        <v>0</v>
      </c>
    </row>
    <row r="20" spans="2:9">
      <c r="B20" s="164">
        <v>267</v>
      </c>
      <c r="C20" s="165" t="s">
        <v>416</v>
      </c>
      <c r="D20" s="166">
        <v>0</v>
      </c>
      <c r="E20" s="166">
        <v>0</v>
      </c>
      <c r="F20" s="166">
        <f t="shared" ref="F20:F23" si="4">D20-E20</f>
        <v>0</v>
      </c>
      <c r="G20" s="255" t="s">
        <v>414</v>
      </c>
      <c r="H20" s="256"/>
      <c r="I20" s="150">
        <f>SUM(I17:I19)</f>
        <v>0</v>
      </c>
    </row>
    <row r="21" spans="2:9" ht="15.6">
      <c r="B21" s="164">
        <v>271</v>
      </c>
      <c r="C21" s="165" t="s">
        <v>442</v>
      </c>
      <c r="D21" s="166">
        <v>0</v>
      </c>
      <c r="E21" s="166">
        <v>0</v>
      </c>
      <c r="F21" s="166">
        <f t="shared" si="4"/>
        <v>0</v>
      </c>
      <c r="G21" s="259" t="s">
        <v>480</v>
      </c>
      <c r="H21" s="260"/>
      <c r="I21" s="155" t="s">
        <v>395</v>
      </c>
    </row>
    <row r="22" spans="2:9">
      <c r="B22" s="164">
        <v>274</v>
      </c>
      <c r="C22" s="165" t="s">
        <v>418</v>
      </c>
      <c r="D22" s="166">
        <v>0</v>
      </c>
      <c r="E22" s="166">
        <v>0</v>
      </c>
      <c r="F22" s="166" t="s">
        <v>487</v>
      </c>
      <c r="G22" s="149">
        <v>163</v>
      </c>
      <c r="H22" s="162" t="s">
        <v>462</v>
      </c>
      <c r="I22" s="148">
        <v>0</v>
      </c>
    </row>
    <row r="23" spans="2:9">
      <c r="B23" s="164">
        <v>276</v>
      </c>
      <c r="C23" s="165" t="s">
        <v>443</v>
      </c>
      <c r="D23" s="166">
        <f>'Plan de financement initial'!D30+'Plan de financement initial'!D31</f>
        <v>0</v>
      </c>
      <c r="E23" s="166">
        <v>0</v>
      </c>
      <c r="F23" s="166">
        <f t="shared" si="4"/>
        <v>0</v>
      </c>
      <c r="G23" s="149">
        <v>164</v>
      </c>
      <c r="H23" s="162" t="s">
        <v>436</v>
      </c>
      <c r="I23" s="148">
        <f>Emprunt!J53</f>
        <v>15579.910955254527</v>
      </c>
    </row>
    <row r="24" spans="2:9">
      <c r="B24" s="257" t="s">
        <v>410</v>
      </c>
      <c r="C24" s="258"/>
      <c r="D24" s="151">
        <f>D7+D13+D18</f>
        <v>41666.666666666664</v>
      </c>
      <c r="E24" s="151">
        <f>E7+E13+E18</f>
        <v>25250</v>
      </c>
      <c r="F24" s="151">
        <f>F7+F13+F18</f>
        <v>16416.666666666668</v>
      </c>
      <c r="G24" s="149">
        <v>166</v>
      </c>
      <c r="H24" s="162" t="s">
        <v>437</v>
      </c>
      <c r="I24" s="148">
        <v>0</v>
      </c>
    </row>
    <row r="25" spans="2:9" ht="15.6">
      <c r="B25" s="261" t="s">
        <v>420</v>
      </c>
      <c r="C25" s="272"/>
      <c r="D25" s="154" t="s">
        <v>394</v>
      </c>
      <c r="E25" s="168" t="s">
        <v>458</v>
      </c>
      <c r="F25" s="154" t="s">
        <v>395</v>
      </c>
      <c r="G25" s="149">
        <v>168</v>
      </c>
      <c r="H25" s="162" t="s">
        <v>438</v>
      </c>
      <c r="I25" s="148">
        <v>0</v>
      </c>
    </row>
    <row r="26" spans="2:9" ht="14.4" customHeight="1">
      <c r="B26" s="156">
        <v>31</v>
      </c>
      <c r="C26" s="157" t="s">
        <v>445</v>
      </c>
      <c r="D26" s="158">
        <v>0</v>
      </c>
      <c r="E26" s="158">
        <v>0</v>
      </c>
      <c r="F26" s="158">
        <f>D26-E26</f>
        <v>0</v>
      </c>
      <c r="G26" s="149" t="s">
        <v>450</v>
      </c>
      <c r="H26" s="162" t="s">
        <v>419</v>
      </c>
      <c r="I26" s="148">
        <v>0</v>
      </c>
    </row>
    <row r="27" spans="2:9">
      <c r="B27" s="156">
        <v>32</v>
      </c>
      <c r="C27" s="157" t="s">
        <v>446</v>
      </c>
      <c r="D27" s="158">
        <v>0</v>
      </c>
      <c r="E27" s="158">
        <v>0</v>
      </c>
      <c r="F27" s="158">
        <f t="shared" ref="F27:F35" si="5">D27-E27</f>
        <v>0</v>
      </c>
      <c r="G27" s="149">
        <v>404</v>
      </c>
      <c r="H27" s="162" t="s">
        <v>451</v>
      </c>
      <c r="I27" s="148">
        <v>0</v>
      </c>
    </row>
    <row r="28" spans="2:9">
      <c r="B28" s="156" t="s">
        <v>449</v>
      </c>
      <c r="C28" s="157" t="s">
        <v>447</v>
      </c>
      <c r="D28" s="158">
        <v>0</v>
      </c>
      <c r="E28" s="158">
        <v>0</v>
      </c>
      <c r="F28" s="158">
        <f t="shared" si="5"/>
        <v>0</v>
      </c>
      <c r="G28" s="149">
        <v>419</v>
      </c>
      <c r="H28" s="162" t="s">
        <v>417</v>
      </c>
      <c r="I28" s="148">
        <v>0</v>
      </c>
    </row>
    <row r="29" spans="2:9">
      <c r="B29" s="156">
        <v>35</v>
      </c>
      <c r="C29" s="157" t="s">
        <v>448</v>
      </c>
      <c r="D29" s="158">
        <v>0</v>
      </c>
      <c r="E29" s="158">
        <v>0</v>
      </c>
      <c r="F29" s="158">
        <f t="shared" si="5"/>
        <v>0</v>
      </c>
      <c r="G29" s="149">
        <v>42</v>
      </c>
      <c r="H29" s="162" t="s">
        <v>455</v>
      </c>
      <c r="I29" s="148">
        <v>0</v>
      </c>
    </row>
    <row r="30" spans="2:9">
      <c r="B30" s="156">
        <v>37</v>
      </c>
      <c r="C30" s="157" t="s">
        <v>461</v>
      </c>
      <c r="D30" s="158">
        <v>0</v>
      </c>
      <c r="E30" s="158">
        <v>0</v>
      </c>
      <c r="F30" s="158">
        <f t="shared" si="5"/>
        <v>0</v>
      </c>
      <c r="G30" s="149">
        <v>43</v>
      </c>
      <c r="H30" s="162" t="s">
        <v>457</v>
      </c>
      <c r="I30" s="148">
        <v>0</v>
      </c>
    </row>
    <row r="31" spans="2:9">
      <c r="B31" s="156">
        <v>409</v>
      </c>
      <c r="C31" s="157" t="s">
        <v>454</v>
      </c>
      <c r="D31" s="158">
        <v>0</v>
      </c>
      <c r="E31" s="158">
        <v>0</v>
      </c>
      <c r="F31" s="158">
        <f t="shared" si="5"/>
        <v>0</v>
      </c>
      <c r="G31" s="149">
        <v>44</v>
      </c>
      <c r="H31" s="162" t="s">
        <v>456</v>
      </c>
      <c r="I31" s="148">
        <f>'Trésorerie année 3'!M47+'CR pluriannuel '!F11</f>
        <v>4238.0321915378645</v>
      </c>
    </row>
    <row r="32" spans="2:9" ht="28.8">
      <c r="B32" s="169" t="s">
        <v>453</v>
      </c>
      <c r="C32" s="157" t="s">
        <v>452</v>
      </c>
      <c r="D32" s="158">
        <v>0</v>
      </c>
      <c r="E32" s="158">
        <v>0</v>
      </c>
      <c r="F32" s="158">
        <f t="shared" si="5"/>
        <v>0</v>
      </c>
      <c r="G32" s="149">
        <v>46</v>
      </c>
      <c r="H32" s="162" t="s">
        <v>421</v>
      </c>
      <c r="I32" s="148">
        <v>0</v>
      </c>
    </row>
    <row r="33" spans="2:9">
      <c r="B33" s="156">
        <v>50</v>
      </c>
      <c r="C33" s="157" t="s">
        <v>424</v>
      </c>
      <c r="D33" s="158">
        <v>0</v>
      </c>
      <c r="E33" s="158">
        <v>0</v>
      </c>
      <c r="F33" s="158">
        <f t="shared" si="5"/>
        <v>0</v>
      </c>
      <c r="G33" s="149">
        <v>487</v>
      </c>
      <c r="H33" s="162" t="s">
        <v>422</v>
      </c>
      <c r="I33" s="148">
        <v>0</v>
      </c>
    </row>
    <row r="34" spans="2:9">
      <c r="B34" s="156" t="s">
        <v>460</v>
      </c>
      <c r="C34" s="157" t="s">
        <v>425</v>
      </c>
      <c r="D34" s="158">
        <f>'Trésorerie année 3'!M51</f>
        <v>59548.492551657582</v>
      </c>
      <c r="E34" s="158">
        <v>0</v>
      </c>
      <c r="F34" s="158">
        <f t="shared" si="5"/>
        <v>59548.492551657582</v>
      </c>
      <c r="G34" s="149"/>
      <c r="H34" s="162"/>
      <c r="I34" s="148"/>
    </row>
    <row r="35" spans="2:9">
      <c r="B35" s="156">
        <v>486</v>
      </c>
      <c r="C35" s="157" t="s">
        <v>426</v>
      </c>
      <c r="D35" s="158"/>
      <c r="E35" s="158">
        <v>0</v>
      </c>
      <c r="F35" s="158">
        <f t="shared" si="5"/>
        <v>0</v>
      </c>
      <c r="G35" s="149"/>
      <c r="H35" s="162"/>
      <c r="I35" s="148"/>
    </row>
    <row r="36" spans="2:9" ht="15" thickBot="1">
      <c r="B36" s="270" t="s">
        <v>414</v>
      </c>
      <c r="C36" s="271"/>
      <c r="D36" s="152">
        <f>SUM(D26:D35)</f>
        <v>59548.492551657582</v>
      </c>
      <c r="E36" s="152">
        <f>SUM(E26:E35)</f>
        <v>0</v>
      </c>
      <c r="F36" s="152">
        <f>SUM(F26:F35)</f>
        <v>59548.492551657582</v>
      </c>
      <c r="G36" s="266" t="s">
        <v>423</v>
      </c>
      <c r="H36" s="267"/>
      <c r="I36" s="150">
        <f>SUM(I22:I33)</f>
        <v>19817.943146792393</v>
      </c>
    </row>
    <row r="37" spans="2:9" ht="18.600000000000001" thickBot="1">
      <c r="B37" s="268" t="s">
        <v>427</v>
      </c>
      <c r="C37" s="269"/>
      <c r="D37" s="153">
        <f>D24+D36</f>
        <v>101215.15921832425</v>
      </c>
      <c r="E37" s="153">
        <f>E24+E36</f>
        <v>25250</v>
      </c>
      <c r="F37" s="153">
        <f>F24+F36</f>
        <v>75965.159218324246</v>
      </c>
      <c r="G37" s="264" t="s">
        <v>428</v>
      </c>
      <c r="H37" s="265"/>
      <c r="I37" s="171">
        <f>I16+I20+I36</f>
        <v>75965.159218324115</v>
      </c>
    </row>
    <row r="38" spans="2:9">
      <c r="B38" s="145"/>
      <c r="C38" s="145"/>
      <c r="D38" s="145"/>
      <c r="E38" s="145"/>
      <c r="F38" s="145"/>
      <c r="G38" s="145"/>
      <c r="H38" s="146"/>
      <c r="I38" s="145"/>
    </row>
    <row r="39" spans="2:9">
      <c r="B39" s="145"/>
      <c r="C39" s="145"/>
      <c r="D39" s="145"/>
      <c r="E39" s="145"/>
      <c r="F39" s="145"/>
      <c r="G39" s="145"/>
      <c r="I39" s="170">
        <f>F37-I37</f>
        <v>1.3096723705530167E-10</v>
      </c>
    </row>
    <row r="41" spans="2:9">
      <c r="H41" s="147" t="s">
        <v>429</v>
      </c>
    </row>
  </sheetData>
  <mergeCells count="14">
    <mergeCell ref="G16:H16"/>
    <mergeCell ref="D2:G3"/>
    <mergeCell ref="B5:F5"/>
    <mergeCell ref="G5:I5"/>
    <mergeCell ref="B6:C6"/>
    <mergeCell ref="G6:H6"/>
    <mergeCell ref="B37:C37"/>
    <mergeCell ref="G37:H37"/>
    <mergeCell ref="G20:H20"/>
    <mergeCell ref="G21:H21"/>
    <mergeCell ref="B24:C24"/>
    <mergeCell ref="B25:C25"/>
    <mergeCell ref="B36:C36"/>
    <mergeCell ref="G36:H36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BC8E2-05BF-4F23-A025-3BEC1A7209A9}">
  <dimension ref="A1:H53"/>
  <sheetViews>
    <sheetView topLeftCell="A15" workbookViewId="0">
      <selection activeCell="D23" sqref="D23"/>
    </sheetView>
  </sheetViews>
  <sheetFormatPr baseColWidth="10" defaultColWidth="11.44140625" defaultRowHeight="13.2"/>
  <cols>
    <col min="1" max="1" width="7.33203125" style="95" customWidth="1"/>
    <col min="2" max="2" width="25.109375" style="95" customWidth="1"/>
    <col min="3" max="3" width="17.77734375" style="95" customWidth="1"/>
    <col min="4" max="4" width="13" style="95" customWidth="1"/>
    <col min="5" max="5" width="1.6640625" style="95" customWidth="1"/>
    <col min="6" max="6" width="22" style="95" customWidth="1"/>
    <col min="7" max="7" width="19" style="95" customWidth="1"/>
    <col min="8" max="8" width="11.6640625" style="95" customWidth="1"/>
    <col min="9" max="254" width="11.44140625" style="95"/>
    <col min="255" max="255" width="7.33203125" style="95" customWidth="1"/>
    <col min="256" max="256" width="25.109375" style="95" customWidth="1"/>
    <col min="257" max="257" width="17.77734375" style="95" customWidth="1"/>
    <col min="258" max="258" width="13" style="95" customWidth="1"/>
    <col min="259" max="259" width="1.6640625" style="95" customWidth="1"/>
    <col min="260" max="260" width="22" style="95" customWidth="1"/>
    <col min="261" max="261" width="19" style="95" customWidth="1"/>
    <col min="262" max="262" width="11.6640625" style="95" customWidth="1"/>
    <col min="263" max="263" width="8.109375" style="95" customWidth="1"/>
    <col min="264" max="510" width="11.44140625" style="95"/>
    <col min="511" max="511" width="7.33203125" style="95" customWidth="1"/>
    <col min="512" max="512" width="25.109375" style="95" customWidth="1"/>
    <col min="513" max="513" width="17.77734375" style="95" customWidth="1"/>
    <col min="514" max="514" width="13" style="95" customWidth="1"/>
    <col min="515" max="515" width="1.6640625" style="95" customWidth="1"/>
    <col min="516" max="516" width="22" style="95" customWidth="1"/>
    <col min="517" max="517" width="19" style="95" customWidth="1"/>
    <col min="518" max="518" width="11.6640625" style="95" customWidth="1"/>
    <col min="519" max="519" width="8.109375" style="95" customWidth="1"/>
    <col min="520" max="766" width="11.44140625" style="95"/>
    <col min="767" max="767" width="7.33203125" style="95" customWidth="1"/>
    <col min="768" max="768" width="25.109375" style="95" customWidth="1"/>
    <col min="769" max="769" width="17.77734375" style="95" customWidth="1"/>
    <col min="770" max="770" width="13" style="95" customWidth="1"/>
    <col min="771" max="771" width="1.6640625" style="95" customWidth="1"/>
    <col min="772" max="772" width="22" style="95" customWidth="1"/>
    <col min="773" max="773" width="19" style="95" customWidth="1"/>
    <col min="774" max="774" width="11.6640625" style="95" customWidth="1"/>
    <col min="775" max="775" width="8.109375" style="95" customWidth="1"/>
    <col min="776" max="1022" width="11.44140625" style="95"/>
    <col min="1023" max="1023" width="7.33203125" style="95" customWidth="1"/>
    <col min="1024" max="1024" width="25.109375" style="95" customWidth="1"/>
    <col min="1025" max="1025" width="17.77734375" style="95" customWidth="1"/>
    <col min="1026" max="1026" width="13" style="95" customWidth="1"/>
    <col min="1027" max="1027" width="1.6640625" style="95" customWidth="1"/>
    <col min="1028" max="1028" width="22" style="95" customWidth="1"/>
    <col min="1029" max="1029" width="19" style="95" customWidth="1"/>
    <col min="1030" max="1030" width="11.6640625" style="95" customWidth="1"/>
    <col min="1031" max="1031" width="8.109375" style="95" customWidth="1"/>
    <col min="1032" max="1278" width="11.44140625" style="95"/>
    <col min="1279" max="1279" width="7.33203125" style="95" customWidth="1"/>
    <col min="1280" max="1280" width="25.109375" style="95" customWidth="1"/>
    <col min="1281" max="1281" width="17.77734375" style="95" customWidth="1"/>
    <col min="1282" max="1282" width="13" style="95" customWidth="1"/>
    <col min="1283" max="1283" width="1.6640625" style="95" customWidth="1"/>
    <col min="1284" max="1284" width="22" style="95" customWidth="1"/>
    <col min="1285" max="1285" width="19" style="95" customWidth="1"/>
    <col min="1286" max="1286" width="11.6640625" style="95" customWidth="1"/>
    <col min="1287" max="1287" width="8.109375" style="95" customWidth="1"/>
    <col min="1288" max="1534" width="11.44140625" style="95"/>
    <col min="1535" max="1535" width="7.33203125" style="95" customWidth="1"/>
    <col min="1536" max="1536" width="25.109375" style="95" customWidth="1"/>
    <col min="1537" max="1537" width="17.77734375" style="95" customWidth="1"/>
    <col min="1538" max="1538" width="13" style="95" customWidth="1"/>
    <col min="1539" max="1539" width="1.6640625" style="95" customWidth="1"/>
    <col min="1540" max="1540" width="22" style="95" customWidth="1"/>
    <col min="1541" max="1541" width="19" style="95" customWidth="1"/>
    <col min="1542" max="1542" width="11.6640625" style="95" customWidth="1"/>
    <col min="1543" max="1543" width="8.109375" style="95" customWidth="1"/>
    <col min="1544" max="1790" width="11.44140625" style="95"/>
    <col min="1791" max="1791" width="7.33203125" style="95" customWidth="1"/>
    <col min="1792" max="1792" width="25.109375" style="95" customWidth="1"/>
    <col min="1793" max="1793" width="17.77734375" style="95" customWidth="1"/>
    <col min="1794" max="1794" width="13" style="95" customWidth="1"/>
    <col min="1795" max="1795" width="1.6640625" style="95" customWidth="1"/>
    <col min="1796" max="1796" width="22" style="95" customWidth="1"/>
    <col min="1797" max="1797" width="19" style="95" customWidth="1"/>
    <col min="1798" max="1798" width="11.6640625" style="95" customWidth="1"/>
    <col min="1799" max="1799" width="8.109375" style="95" customWidth="1"/>
    <col min="1800" max="2046" width="11.44140625" style="95"/>
    <col min="2047" max="2047" width="7.33203125" style="95" customWidth="1"/>
    <col min="2048" max="2048" width="25.109375" style="95" customWidth="1"/>
    <col min="2049" max="2049" width="17.77734375" style="95" customWidth="1"/>
    <col min="2050" max="2050" width="13" style="95" customWidth="1"/>
    <col min="2051" max="2051" width="1.6640625" style="95" customWidth="1"/>
    <col min="2052" max="2052" width="22" style="95" customWidth="1"/>
    <col min="2053" max="2053" width="19" style="95" customWidth="1"/>
    <col min="2054" max="2054" width="11.6640625" style="95" customWidth="1"/>
    <col min="2055" max="2055" width="8.109375" style="95" customWidth="1"/>
    <col min="2056" max="2302" width="11.44140625" style="95"/>
    <col min="2303" max="2303" width="7.33203125" style="95" customWidth="1"/>
    <col min="2304" max="2304" width="25.109375" style="95" customWidth="1"/>
    <col min="2305" max="2305" width="17.77734375" style="95" customWidth="1"/>
    <col min="2306" max="2306" width="13" style="95" customWidth="1"/>
    <col min="2307" max="2307" width="1.6640625" style="95" customWidth="1"/>
    <col min="2308" max="2308" width="22" style="95" customWidth="1"/>
    <col min="2309" max="2309" width="19" style="95" customWidth="1"/>
    <col min="2310" max="2310" width="11.6640625" style="95" customWidth="1"/>
    <col min="2311" max="2311" width="8.109375" style="95" customWidth="1"/>
    <col min="2312" max="2558" width="11.44140625" style="95"/>
    <col min="2559" max="2559" width="7.33203125" style="95" customWidth="1"/>
    <col min="2560" max="2560" width="25.109375" style="95" customWidth="1"/>
    <col min="2561" max="2561" width="17.77734375" style="95" customWidth="1"/>
    <col min="2562" max="2562" width="13" style="95" customWidth="1"/>
    <col min="2563" max="2563" width="1.6640625" style="95" customWidth="1"/>
    <col min="2564" max="2564" width="22" style="95" customWidth="1"/>
    <col min="2565" max="2565" width="19" style="95" customWidth="1"/>
    <col min="2566" max="2566" width="11.6640625" style="95" customWidth="1"/>
    <col min="2567" max="2567" width="8.109375" style="95" customWidth="1"/>
    <col min="2568" max="2814" width="11.44140625" style="95"/>
    <col min="2815" max="2815" width="7.33203125" style="95" customWidth="1"/>
    <col min="2816" max="2816" width="25.109375" style="95" customWidth="1"/>
    <col min="2817" max="2817" width="17.77734375" style="95" customWidth="1"/>
    <col min="2818" max="2818" width="13" style="95" customWidth="1"/>
    <col min="2819" max="2819" width="1.6640625" style="95" customWidth="1"/>
    <col min="2820" max="2820" width="22" style="95" customWidth="1"/>
    <col min="2821" max="2821" width="19" style="95" customWidth="1"/>
    <col min="2822" max="2822" width="11.6640625" style="95" customWidth="1"/>
    <col min="2823" max="2823" width="8.109375" style="95" customWidth="1"/>
    <col min="2824" max="3070" width="11.44140625" style="95"/>
    <col min="3071" max="3071" width="7.33203125" style="95" customWidth="1"/>
    <col min="3072" max="3072" width="25.109375" style="95" customWidth="1"/>
    <col min="3073" max="3073" width="17.77734375" style="95" customWidth="1"/>
    <col min="3074" max="3074" width="13" style="95" customWidth="1"/>
    <col min="3075" max="3075" width="1.6640625" style="95" customWidth="1"/>
    <col min="3076" max="3076" width="22" style="95" customWidth="1"/>
    <col min="3077" max="3077" width="19" style="95" customWidth="1"/>
    <col min="3078" max="3078" width="11.6640625" style="95" customWidth="1"/>
    <col min="3079" max="3079" width="8.109375" style="95" customWidth="1"/>
    <col min="3080" max="3326" width="11.44140625" style="95"/>
    <col min="3327" max="3327" width="7.33203125" style="95" customWidth="1"/>
    <col min="3328" max="3328" width="25.109375" style="95" customWidth="1"/>
    <col min="3329" max="3329" width="17.77734375" style="95" customWidth="1"/>
    <col min="3330" max="3330" width="13" style="95" customWidth="1"/>
    <col min="3331" max="3331" width="1.6640625" style="95" customWidth="1"/>
    <col min="3332" max="3332" width="22" style="95" customWidth="1"/>
    <col min="3333" max="3333" width="19" style="95" customWidth="1"/>
    <col min="3334" max="3334" width="11.6640625" style="95" customWidth="1"/>
    <col min="3335" max="3335" width="8.109375" style="95" customWidth="1"/>
    <col min="3336" max="3582" width="11.44140625" style="95"/>
    <col min="3583" max="3583" width="7.33203125" style="95" customWidth="1"/>
    <col min="3584" max="3584" width="25.109375" style="95" customWidth="1"/>
    <col min="3585" max="3585" width="17.77734375" style="95" customWidth="1"/>
    <col min="3586" max="3586" width="13" style="95" customWidth="1"/>
    <col min="3587" max="3587" width="1.6640625" style="95" customWidth="1"/>
    <col min="3588" max="3588" width="22" style="95" customWidth="1"/>
    <col min="3589" max="3589" width="19" style="95" customWidth="1"/>
    <col min="3590" max="3590" width="11.6640625" style="95" customWidth="1"/>
    <col min="3591" max="3591" width="8.109375" style="95" customWidth="1"/>
    <col min="3592" max="3838" width="11.44140625" style="95"/>
    <col min="3839" max="3839" width="7.33203125" style="95" customWidth="1"/>
    <col min="3840" max="3840" width="25.109375" style="95" customWidth="1"/>
    <col min="3841" max="3841" width="17.77734375" style="95" customWidth="1"/>
    <col min="3842" max="3842" width="13" style="95" customWidth="1"/>
    <col min="3843" max="3843" width="1.6640625" style="95" customWidth="1"/>
    <col min="3844" max="3844" width="22" style="95" customWidth="1"/>
    <col min="3845" max="3845" width="19" style="95" customWidth="1"/>
    <col min="3846" max="3846" width="11.6640625" style="95" customWidth="1"/>
    <col min="3847" max="3847" width="8.109375" style="95" customWidth="1"/>
    <col min="3848" max="4094" width="11.44140625" style="95"/>
    <col min="4095" max="4095" width="7.33203125" style="95" customWidth="1"/>
    <col min="4096" max="4096" width="25.109375" style="95" customWidth="1"/>
    <col min="4097" max="4097" width="17.77734375" style="95" customWidth="1"/>
    <col min="4098" max="4098" width="13" style="95" customWidth="1"/>
    <col min="4099" max="4099" width="1.6640625" style="95" customWidth="1"/>
    <col min="4100" max="4100" width="22" style="95" customWidth="1"/>
    <col min="4101" max="4101" width="19" style="95" customWidth="1"/>
    <col min="4102" max="4102" width="11.6640625" style="95" customWidth="1"/>
    <col min="4103" max="4103" width="8.109375" style="95" customWidth="1"/>
    <col min="4104" max="4350" width="11.44140625" style="95"/>
    <col min="4351" max="4351" width="7.33203125" style="95" customWidth="1"/>
    <col min="4352" max="4352" width="25.109375" style="95" customWidth="1"/>
    <col min="4353" max="4353" width="17.77734375" style="95" customWidth="1"/>
    <col min="4354" max="4354" width="13" style="95" customWidth="1"/>
    <col min="4355" max="4355" width="1.6640625" style="95" customWidth="1"/>
    <col min="4356" max="4356" width="22" style="95" customWidth="1"/>
    <col min="4357" max="4357" width="19" style="95" customWidth="1"/>
    <col min="4358" max="4358" width="11.6640625" style="95" customWidth="1"/>
    <col min="4359" max="4359" width="8.109375" style="95" customWidth="1"/>
    <col min="4360" max="4606" width="11.44140625" style="95"/>
    <col min="4607" max="4607" width="7.33203125" style="95" customWidth="1"/>
    <col min="4608" max="4608" width="25.109375" style="95" customWidth="1"/>
    <col min="4609" max="4609" width="17.77734375" style="95" customWidth="1"/>
    <col min="4610" max="4610" width="13" style="95" customWidth="1"/>
    <col min="4611" max="4611" width="1.6640625" style="95" customWidth="1"/>
    <col min="4612" max="4612" width="22" style="95" customWidth="1"/>
    <col min="4613" max="4613" width="19" style="95" customWidth="1"/>
    <col min="4614" max="4614" width="11.6640625" style="95" customWidth="1"/>
    <col min="4615" max="4615" width="8.109375" style="95" customWidth="1"/>
    <col min="4616" max="4862" width="11.44140625" style="95"/>
    <col min="4863" max="4863" width="7.33203125" style="95" customWidth="1"/>
    <col min="4864" max="4864" width="25.109375" style="95" customWidth="1"/>
    <col min="4865" max="4865" width="17.77734375" style="95" customWidth="1"/>
    <col min="4866" max="4866" width="13" style="95" customWidth="1"/>
    <col min="4867" max="4867" width="1.6640625" style="95" customWidth="1"/>
    <col min="4868" max="4868" width="22" style="95" customWidth="1"/>
    <col min="4869" max="4869" width="19" style="95" customWidth="1"/>
    <col min="4870" max="4870" width="11.6640625" style="95" customWidth="1"/>
    <col min="4871" max="4871" width="8.109375" style="95" customWidth="1"/>
    <col min="4872" max="5118" width="11.44140625" style="95"/>
    <col min="5119" max="5119" width="7.33203125" style="95" customWidth="1"/>
    <col min="5120" max="5120" width="25.109375" style="95" customWidth="1"/>
    <col min="5121" max="5121" width="17.77734375" style="95" customWidth="1"/>
    <col min="5122" max="5122" width="13" style="95" customWidth="1"/>
    <col min="5123" max="5123" width="1.6640625" style="95" customWidth="1"/>
    <col min="5124" max="5124" width="22" style="95" customWidth="1"/>
    <col min="5125" max="5125" width="19" style="95" customWidth="1"/>
    <col min="5126" max="5126" width="11.6640625" style="95" customWidth="1"/>
    <col min="5127" max="5127" width="8.109375" style="95" customWidth="1"/>
    <col min="5128" max="5374" width="11.44140625" style="95"/>
    <col min="5375" max="5375" width="7.33203125" style="95" customWidth="1"/>
    <col min="5376" max="5376" width="25.109375" style="95" customWidth="1"/>
    <col min="5377" max="5377" width="17.77734375" style="95" customWidth="1"/>
    <col min="5378" max="5378" width="13" style="95" customWidth="1"/>
    <col min="5379" max="5379" width="1.6640625" style="95" customWidth="1"/>
    <col min="5380" max="5380" width="22" style="95" customWidth="1"/>
    <col min="5381" max="5381" width="19" style="95" customWidth="1"/>
    <col min="5382" max="5382" width="11.6640625" style="95" customWidth="1"/>
    <col min="5383" max="5383" width="8.109375" style="95" customWidth="1"/>
    <col min="5384" max="5630" width="11.44140625" style="95"/>
    <col min="5631" max="5631" width="7.33203125" style="95" customWidth="1"/>
    <col min="5632" max="5632" width="25.109375" style="95" customWidth="1"/>
    <col min="5633" max="5633" width="17.77734375" style="95" customWidth="1"/>
    <col min="5634" max="5634" width="13" style="95" customWidth="1"/>
    <col min="5635" max="5635" width="1.6640625" style="95" customWidth="1"/>
    <col min="5636" max="5636" width="22" style="95" customWidth="1"/>
    <col min="5637" max="5637" width="19" style="95" customWidth="1"/>
    <col min="5638" max="5638" width="11.6640625" style="95" customWidth="1"/>
    <col min="5639" max="5639" width="8.109375" style="95" customWidth="1"/>
    <col min="5640" max="5886" width="11.44140625" style="95"/>
    <col min="5887" max="5887" width="7.33203125" style="95" customWidth="1"/>
    <col min="5888" max="5888" width="25.109375" style="95" customWidth="1"/>
    <col min="5889" max="5889" width="17.77734375" style="95" customWidth="1"/>
    <col min="5890" max="5890" width="13" style="95" customWidth="1"/>
    <col min="5891" max="5891" width="1.6640625" style="95" customWidth="1"/>
    <col min="5892" max="5892" width="22" style="95" customWidth="1"/>
    <col min="5893" max="5893" width="19" style="95" customWidth="1"/>
    <col min="5894" max="5894" width="11.6640625" style="95" customWidth="1"/>
    <col min="5895" max="5895" width="8.109375" style="95" customWidth="1"/>
    <col min="5896" max="6142" width="11.44140625" style="95"/>
    <col min="6143" max="6143" width="7.33203125" style="95" customWidth="1"/>
    <col min="6144" max="6144" width="25.109375" style="95" customWidth="1"/>
    <col min="6145" max="6145" width="17.77734375" style="95" customWidth="1"/>
    <col min="6146" max="6146" width="13" style="95" customWidth="1"/>
    <col min="6147" max="6147" width="1.6640625" style="95" customWidth="1"/>
    <col min="6148" max="6148" width="22" style="95" customWidth="1"/>
    <col min="6149" max="6149" width="19" style="95" customWidth="1"/>
    <col min="6150" max="6150" width="11.6640625" style="95" customWidth="1"/>
    <col min="6151" max="6151" width="8.109375" style="95" customWidth="1"/>
    <col min="6152" max="6398" width="11.44140625" style="95"/>
    <col min="6399" max="6399" width="7.33203125" style="95" customWidth="1"/>
    <col min="6400" max="6400" width="25.109375" style="95" customWidth="1"/>
    <col min="6401" max="6401" width="17.77734375" style="95" customWidth="1"/>
    <col min="6402" max="6402" width="13" style="95" customWidth="1"/>
    <col min="6403" max="6403" width="1.6640625" style="95" customWidth="1"/>
    <col min="6404" max="6404" width="22" style="95" customWidth="1"/>
    <col min="6405" max="6405" width="19" style="95" customWidth="1"/>
    <col min="6406" max="6406" width="11.6640625" style="95" customWidth="1"/>
    <col min="6407" max="6407" width="8.109375" style="95" customWidth="1"/>
    <col min="6408" max="6654" width="11.44140625" style="95"/>
    <col min="6655" max="6655" width="7.33203125" style="95" customWidth="1"/>
    <col min="6656" max="6656" width="25.109375" style="95" customWidth="1"/>
    <col min="6657" max="6657" width="17.77734375" style="95" customWidth="1"/>
    <col min="6658" max="6658" width="13" style="95" customWidth="1"/>
    <col min="6659" max="6659" width="1.6640625" style="95" customWidth="1"/>
    <col min="6660" max="6660" width="22" style="95" customWidth="1"/>
    <col min="6661" max="6661" width="19" style="95" customWidth="1"/>
    <col min="6662" max="6662" width="11.6640625" style="95" customWidth="1"/>
    <col min="6663" max="6663" width="8.109375" style="95" customWidth="1"/>
    <col min="6664" max="6910" width="11.44140625" style="95"/>
    <col min="6911" max="6911" width="7.33203125" style="95" customWidth="1"/>
    <col min="6912" max="6912" width="25.109375" style="95" customWidth="1"/>
    <col min="6913" max="6913" width="17.77734375" style="95" customWidth="1"/>
    <col min="6914" max="6914" width="13" style="95" customWidth="1"/>
    <col min="6915" max="6915" width="1.6640625" style="95" customWidth="1"/>
    <col min="6916" max="6916" width="22" style="95" customWidth="1"/>
    <col min="6917" max="6917" width="19" style="95" customWidth="1"/>
    <col min="6918" max="6918" width="11.6640625" style="95" customWidth="1"/>
    <col min="6919" max="6919" width="8.109375" style="95" customWidth="1"/>
    <col min="6920" max="7166" width="11.44140625" style="95"/>
    <col min="7167" max="7167" width="7.33203125" style="95" customWidth="1"/>
    <col min="7168" max="7168" width="25.109375" style="95" customWidth="1"/>
    <col min="7169" max="7169" width="17.77734375" style="95" customWidth="1"/>
    <col min="7170" max="7170" width="13" style="95" customWidth="1"/>
    <col min="7171" max="7171" width="1.6640625" style="95" customWidth="1"/>
    <col min="7172" max="7172" width="22" style="95" customWidth="1"/>
    <col min="7173" max="7173" width="19" style="95" customWidth="1"/>
    <col min="7174" max="7174" width="11.6640625" style="95" customWidth="1"/>
    <col min="7175" max="7175" width="8.109375" style="95" customWidth="1"/>
    <col min="7176" max="7422" width="11.44140625" style="95"/>
    <col min="7423" max="7423" width="7.33203125" style="95" customWidth="1"/>
    <col min="7424" max="7424" width="25.109375" style="95" customWidth="1"/>
    <col min="7425" max="7425" width="17.77734375" style="95" customWidth="1"/>
    <col min="7426" max="7426" width="13" style="95" customWidth="1"/>
    <col min="7427" max="7427" width="1.6640625" style="95" customWidth="1"/>
    <col min="7428" max="7428" width="22" style="95" customWidth="1"/>
    <col min="7429" max="7429" width="19" style="95" customWidth="1"/>
    <col min="7430" max="7430" width="11.6640625" style="95" customWidth="1"/>
    <col min="7431" max="7431" width="8.109375" style="95" customWidth="1"/>
    <col min="7432" max="7678" width="11.44140625" style="95"/>
    <col min="7679" max="7679" width="7.33203125" style="95" customWidth="1"/>
    <col min="7680" max="7680" width="25.109375" style="95" customWidth="1"/>
    <col min="7681" max="7681" width="17.77734375" style="95" customWidth="1"/>
    <col min="7682" max="7682" width="13" style="95" customWidth="1"/>
    <col min="7683" max="7683" width="1.6640625" style="95" customWidth="1"/>
    <col min="7684" max="7684" width="22" style="95" customWidth="1"/>
    <col min="7685" max="7685" width="19" style="95" customWidth="1"/>
    <col min="7686" max="7686" width="11.6640625" style="95" customWidth="1"/>
    <col min="7687" max="7687" width="8.109375" style="95" customWidth="1"/>
    <col min="7688" max="7934" width="11.44140625" style="95"/>
    <col min="7935" max="7935" width="7.33203125" style="95" customWidth="1"/>
    <col min="7936" max="7936" width="25.109375" style="95" customWidth="1"/>
    <col min="7937" max="7937" width="17.77734375" style="95" customWidth="1"/>
    <col min="7938" max="7938" width="13" style="95" customWidth="1"/>
    <col min="7939" max="7939" width="1.6640625" style="95" customWidth="1"/>
    <col min="7940" max="7940" width="22" style="95" customWidth="1"/>
    <col min="7941" max="7941" width="19" style="95" customWidth="1"/>
    <col min="7942" max="7942" width="11.6640625" style="95" customWidth="1"/>
    <col min="7943" max="7943" width="8.109375" style="95" customWidth="1"/>
    <col min="7944" max="8190" width="11.44140625" style="95"/>
    <col min="8191" max="8191" width="7.33203125" style="95" customWidth="1"/>
    <col min="8192" max="8192" width="25.109375" style="95" customWidth="1"/>
    <col min="8193" max="8193" width="17.77734375" style="95" customWidth="1"/>
    <col min="8194" max="8194" width="13" style="95" customWidth="1"/>
    <col min="8195" max="8195" width="1.6640625" style="95" customWidth="1"/>
    <col min="8196" max="8196" width="22" style="95" customWidth="1"/>
    <col min="8197" max="8197" width="19" style="95" customWidth="1"/>
    <col min="8198" max="8198" width="11.6640625" style="95" customWidth="1"/>
    <col min="8199" max="8199" width="8.109375" style="95" customWidth="1"/>
    <col min="8200" max="8446" width="11.44140625" style="95"/>
    <col min="8447" max="8447" width="7.33203125" style="95" customWidth="1"/>
    <col min="8448" max="8448" width="25.109375" style="95" customWidth="1"/>
    <col min="8449" max="8449" width="17.77734375" style="95" customWidth="1"/>
    <col min="8450" max="8450" width="13" style="95" customWidth="1"/>
    <col min="8451" max="8451" width="1.6640625" style="95" customWidth="1"/>
    <col min="8452" max="8452" width="22" style="95" customWidth="1"/>
    <col min="8453" max="8453" width="19" style="95" customWidth="1"/>
    <col min="8454" max="8454" width="11.6640625" style="95" customWidth="1"/>
    <col min="8455" max="8455" width="8.109375" style="95" customWidth="1"/>
    <col min="8456" max="8702" width="11.44140625" style="95"/>
    <col min="8703" max="8703" width="7.33203125" style="95" customWidth="1"/>
    <col min="8704" max="8704" width="25.109375" style="95" customWidth="1"/>
    <col min="8705" max="8705" width="17.77734375" style="95" customWidth="1"/>
    <col min="8706" max="8706" width="13" style="95" customWidth="1"/>
    <col min="8707" max="8707" width="1.6640625" style="95" customWidth="1"/>
    <col min="8708" max="8708" width="22" style="95" customWidth="1"/>
    <col min="8709" max="8709" width="19" style="95" customWidth="1"/>
    <col min="8710" max="8710" width="11.6640625" style="95" customWidth="1"/>
    <col min="8711" max="8711" width="8.109375" style="95" customWidth="1"/>
    <col min="8712" max="8958" width="11.44140625" style="95"/>
    <col min="8959" max="8959" width="7.33203125" style="95" customWidth="1"/>
    <col min="8960" max="8960" width="25.109375" style="95" customWidth="1"/>
    <col min="8961" max="8961" width="17.77734375" style="95" customWidth="1"/>
    <col min="8962" max="8962" width="13" style="95" customWidth="1"/>
    <col min="8963" max="8963" width="1.6640625" style="95" customWidth="1"/>
    <col min="8964" max="8964" width="22" style="95" customWidth="1"/>
    <col min="8965" max="8965" width="19" style="95" customWidth="1"/>
    <col min="8966" max="8966" width="11.6640625" style="95" customWidth="1"/>
    <col min="8967" max="8967" width="8.109375" style="95" customWidth="1"/>
    <col min="8968" max="9214" width="11.44140625" style="95"/>
    <col min="9215" max="9215" width="7.33203125" style="95" customWidth="1"/>
    <col min="9216" max="9216" width="25.109375" style="95" customWidth="1"/>
    <col min="9217" max="9217" width="17.77734375" style="95" customWidth="1"/>
    <col min="9218" max="9218" width="13" style="95" customWidth="1"/>
    <col min="9219" max="9219" width="1.6640625" style="95" customWidth="1"/>
    <col min="9220" max="9220" width="22" style="95" customWidth="1"/>
    <col min="9221" max="9221" width="19" style="95" customWidth="1"/>
    <col min="9222" max="9222" width="11.6640625" style="95" customWidth="1"/>
    <col min="9223" max="9223" width="8.109375" style="95" customWidth="1"/>
    <col min="9224" max="9470" width="11.44140625" style="95"/>
    <col min="9471" max="9471" width="7.33203125" style="95" customWidth="1"/>
    <col min="9472" max="9472" width="25.109375" style="95" customWidth="1"/>
    <col min="9473" max="9473" width="17.77734375" style="95" customWidth="1"/>
    <col min="9474" max="9474" width="13" style="95" customWidth="1"/>
    <col min="9475" max="9475" width="1.6640625" style="95" customWidth="1"/>
    <col min="9476" max="9476" width="22" style="95" customWidth="1"/>
    <col min="9477" max="9477" width="19" style="95" customWidth="1"/>
    <col min="9478" max="9478" width="11.6640625" style="95" customWidth="1"/>
    <col min="9479" max="9479" width="8.109375" style="95" customWidth="1"/>
    <col min="9480" max="9726" width="11.44140625" style="95"/>
    <col min="9727" max="9727" width="7.33203125" style="95" customWidth="1"/>
    <col min="9728" max="9728" width="25.109375" style="95" customWidth="1"/>
    <col min="9729" max="9729" width="17.77734375" style="95" customWidth="1"/>
    <col min="9730" max="9730" width="13" style="95" customWidth="1"/>
    <col min="9731" max="9731" width="1.6640625" style="95" customWidth="1"/>
    <col min="9732" max="9732" width="22" style="95" customWidth="1"/>
    <col min="9733" max="9733" width="19" style="95" customWidth="1"/>
    <col min="9734" max="9734" width="11.6640625" style="95" customWidth="1"/>
    <col min="9735" max="9735" width="8.109375" style="95" customWidth="1"/>
    <col min="9736" max="9982" width="11.44140625" style="95"/>
    <col min="9983" max="9983" width="7.33203125" style="95" customWidth="1"/>
    <col min="9984" max="9984" width="25.109375" style="95" customWidth="1"/>
    <col min="9985" max="9985" width="17.77734375" style="95" customWidth="1"/>
    <col min="9986" max="9986" width="13" style="95" customWidth="1"/>
    <col min="9987" max="9987" width="1.6640625" style="95" customWidth="1"/>
    <col min="9988" max="9988" width="22" style="95" customWidth="1"/>
    <col min="9989" max="9989" width="19" style="95" customWidth="1"/>
    <col min="9990" max="9990" width="11.6640625" style="95" customWidth="1"/>
    <col min="9991" max="9991" width="8.109375" style="95" customWidth="1"/>
    <col min="9992" max="10238" width="11.44140625" style="95"/>
    <col min="10239" max="10239" width="7.33203125" style="95" customWidth="1"/>
    <col min="10240" max="10240" width="25.109375" style="95" customWidth="1"/>
    <col min="10241" max="10241" width="17.77734375" style="95" customWidth="1"/>
    <col min="10242" max="10242" width="13" style="95" customWidth="1"/>
    <col min="10243" max="10243" width="1.6640625" style="95" customWidth="1"/>
    <col min="10244" max="10244" width="22" style="95" customWidth="1"/>
    <col min="10245" max="10245" width="19" style="95" customWidth="1"/>
    <col min="10246" max="10246" width="11.6640625" style="95" customWidth="1"/>
    <col min="10247" max="10247" width="8.109375" style="95" customWidth="1"/>
    <col min="10248" max="10494" width="11.44140625" style="95"/>
    <col min="10495" max="10495" width="7.33203125" style="95" customWidth="1"/>
    <col min="10496" max="10496" width="25.109375" style="95" customWidth="1"/>
    <col min="10497" max="10497" width="17.77734375" style="95" customWidth="1"/>
    <col min="10498" max="10498" width="13" style="95" customWidth="1"/>
    <col min="10499" max="10499" width="1.6640625" style="95" customWidth="1"/>
    <col min="10500" max="10500" width="22" style="95" customWidth="1"/>
    <col min="10501" max="10501" width="19" style="95" customWidth="1"/>
    <col min="10502" max="10502" width="11.6640625" style="95" customWidth="1"/>
    <col min="10503" max="10503" width="8.109375" style="95" customWidth="1"/>
    <col min="10504" max="10750" width="11.44140625" style="95"/>
    <col min="10751" max="10751" width="7.33203125" style="95" customWidth="1"/>
    <col min="10752" max="10752" width="25.109375" style="95" customWidth="1"/>
    <col min="10753" max="10753" width="17.77734375" style="95" customWidth="1"/>
    <col min="10754" max="10754" width="13" style="95" customWidth="1"/>
    <col min="10755" max="10755" width="1.6640625" style="95" customWidth="1"/>
    <col min="10756" max="10756" width="22" style="95" customWidth="1"/>
    <col min="10757" max="10757" width="19" style="95" customWidth="1"/>
    <col min="10758" max="10758" width="11.6640625" style="95" customWidth="1"/>
    <col min="10759" max="10759" width="8.109375" style="95" customWidth="1"/>
    <col min="10760" max="11006" width="11.44140625" style="95"/>
    <col min="11007" max="11007" width="7.33203125" style="95" customWidth="1"/>
    <col min="11008" max="11008" width="25.109375" style="95" customWidth="1"/>
    <col min="11009" max="11009" width="17.77734375" style="95" customWidth="1"/>
    <col min="11010" max="11010" width="13" style="95" customWidth="1"/>
    <col min="11011" max="11011" width="1.6640625" style="95" customWidth="1"/>
    <col min="11012" max="11012" width="22" style="95" customWidth="1"/>
    <col min="11013" max="11013" width="19" style="95" customWidth="1"/>
    <col min="11014" max="11014" width="11.6640625" style="95" customWidth="1"/>
    <col min="11015" max="11015" width="8.109375" style="95" customWidth="1"/>
    <col min="11016" max="11262" width="11.44140625" style="95"/>
    <col min="11263" max="11263" width="7.33203125" style="95" customWidth="1"/>
    <col min="11264" max="11264" width="25.109375" style="95" customWidth="1"/>
    <col min="11265" max="11265" width="17.77734375" style="95" customWidth="1"/>
    <col min="11266" max="11266" width="13" style="95" customWidth="1"/>
    <col min="11267" max="11267" width="1.6640625" style="95" customWidth="1"/>
    <col min="11268" max="11268" width="22" style="95" customWidth="1"/>
    <col min="11269" max="11269" width="19" style="95" customWidth="1"/>
    <col min="11270" max="11270" width="11.6640625" style="95" customWidth="1"/>
    <col min="11271" max="11271" width="8.109375" style="95" customWidth="1"/>
    <col min="11272" max="11518" width="11.44140625" style="95"/>
    <col min="11519" max="11519" width="7.33203125" style="95" customWidth="1"/>
    <col min="11520" max="11520" width="25.109375" style="95" customWidth="1"/>
    <col min="11521" max="11521" width="17.77734375" style="95" customWidth="1"/>
    <col min="11522" max="11522" width="13" style="95" customWidth="1"/>
    <col min="11523" max="11523" width="1.6640625" style="95" customWidth="1"/>
    <col min="11524" max="11524" width="22" style="95" customWidth="1"/>
    <col min="11525" max="11525" width="19" style="95" customWidth="1"/>
    <col min="11526" max="11526" width="11.6640625" style="95" customWidth="1"/>
    <col min="11527" max="11527" width="8.109375" style="95" customWidth="1"/>
    <col min="11528" max="11774" width="11.44140625" style="95"/>
    <col min="11775" max="11775" width="7.33203125" style="95" customWidth="1"/>
    <col min="11776" max="11776" width="25.109375" style="95" customWidth="1"/>
    <col min="11777" max="11777" width="17.77734375" style="95" customWidth="1"/>
    <col min="11778" max="11778" width="13" style="95" customWidth="1"/>
    <col min="11779" max="11779" width="1.6640625" style="95" customWidth="1"/>
    <col min="11780" max="11780" width="22" style="95" customWidth="1"/>
    <col min="11781" max="11781" width="19" style="95" customWidth="1"/>
    <col min="11782" max="11782" width="11.6640625" style="95" customWidth="1"/>
    <col min="11783" max="11783" width="8.109375" style="95" customWidth="1"/>
    <col min="11784" max="12030" width="11.44140625" style="95"/>
    <col min="12031" max="12031" width="7.33203125" style="95" customWidth="1"/>
    <col min="12032" max="12032" width="25.109375" style="95" customWidth="1"/>
    <col min="12033" max="12033" width="17.77734375" style="95" customWidth="1"/>
    <col min="12034" max="12034" width="13" style="95" customWidth="1"/>
    <col min="12035" max="12035" width="1.6640625" style="95" customWidth="1"/>
    <col min="12036" max="12036" width="22" style="95" customWidth="1"/>
    <col min="12037" max="12037" width="19" style="95" customWidth="1"/>
    <col min="12038" max="12038" width="11.6640625" style="95" customWidth="1"/>
    <col min="12039" max="12039" width="8.109375" style="95" customWidth="1"/>
    <col min="12040" max="12286" width="11.44140625" style="95"/>
    <col min="12287" max="12287" width="7.33203125" style="95" customWidth="1"/>
    <col min="12288" max="12288" width="25.109375" style="95" customWidth="1"/>
    <col min="12289" max="12289" width="17.77734375" style="95" customWidth="1"/>
    <col min="12290" max="12290" width="13" style="95" customWidth="1"/>
    <col min="12291" max="12291" width="1.6640625" style="95" customWidth="1"/>
    <col min="12292" max="12292" width="22" style="95" customWidth="1"/>
    <col min="12293" max="12293" width="19" style="95" customWidth="1"/>
    <col min="12294" max="12294" width="11.6640625" style="95" customWidth="1"/>
    <col min="12295" max="12295" width="8.109375" style="95" customWidth="1"/>
    <col min="12296" max="12542" width="11.44140625" style="95"/>
    <col min="12543" max="12543" width="7.33203125" style="95" customWidth="1"/>
    <col min="12544" max="12544" width="25.109375" style="95" customWidth="1"/>
    <col min="12545" max="12545" width="17.77734375" style="95" customWidth="1"/>
    <col min="12546" max="12546" width="13" style="95" customWidth="1"/>
    <col min="12547" max="12547" width="1.6640625" style="95" customWidth="1"/>
    <col min="12548" max="12548" width="22" style="95" customWidth="1"/>
    <col min="12549" max="12549" width="19" style="95" customWidth="1"/>
    <col min="12550" max="12550" width="11.6640625" style="95" customWidth="1"/>
    <col min="12551" max="12551" width="8.109375" style="95" customWidth="1"/>
    <col min="12552" max="12798" width="11.44140625" style="95"/>
    <col min="12799" max="12799" width="7.33203125" style="95" customWidth="1"/>
    <col min="12800" max="12800" width="25.109375" style="95" customWidth="1"/>
    <col min="12801" max="12801" width="17.77734375" style="95" customWidth="1"/>
    <col min="12802" max="12802" width="13" style="95" customWidth="1"/>
    <col min="12803" max="12803" width="1.6640625" style="95" customWidth="1"/>
    <col min="12804" max="12804" width="22" style="95" customWidth="1"/>
    <col min="12805" max="12805" width="19" style="95" customWidth="1"/>
    <col min="12806" max="12806" width="11.6640625" style="95" customWidth="1"/>
    <col min="12807" max="12807" width="8.109375" style="95" customWidth="1"/>
    <col min="12808" max="13054" width="11.44140625" style="95"/>
    <col min="13055" max="13055" width="7.33203125" style="95" customWidth="1"/>
    <col min="13056" max="13056" width="25.109375" style="95" customWidth="1"/>
    <col min="13057" max="13057" width="17.77734375" style="95" customWidth="1"/>
    <col min="13058" max="13058" width="13" style="95" customWidth="1"/>
    <col min="13059" max="13059" width="1.6640625" style="95" customWidth="1"/>
    <col min="13060" max="13060" width="22" style="95" customWidth="1"/>
    <col min="13061" max="13061" width="19" style="95" customWidth="1"/>
    <col min="13062" max="13062" width="11.6640625" style="95" customWidth="1"/>
    <col min="13063" max="13063" width="8.109375" style="95" customWidth="1"/>
    <col min="13064" max="13310" width="11.44140625" style="95"/>
    <col min="13311" max="13311" width="7.33203125" style="95" customWidth="1"/>
    <col min="13312" max="13312" width="25.109375" style="95" customWidth="1"/>
    <col min="13313" max="13313" width="17.77734375" style="95" customWidth="1"/>
    <col min="13314" max="13314" width="13" style="95" customWidth="1"/>
    <col min="13315" max="13315" width="1.6640625" style="95" customWidth="1"/>
    <col min="13316" max="13316" width="22" style="95" customWidth="1"/>
    <col min="13317" max="13317" width="19" style="95" customWidth="1"/>
    <col min="13318" max="13318" width="11.6640625" style="95" customWidth="1"/>
    <col min="13319" max="13319" width="8.109375" style="95" customWidth="1"/>
    <col min="13320" max="13566" width="11.44140625" style="95"/>
    <col min="13567" max="13567" width="7.33203125" style="95" customWidth="1"/>
    <col min="13568" max="13568" width="25.109375" style="95" customWidth="1"/>
    <col min="13569" max="13569" width="17.77734375" style="95" customWidth="1"/>
    <col min="13570" max="13570" width="13" style="95" customWidth="1"/>
    <col min="13571" max="13571" width="1.6640625" style="95" customWidth="1"/>
    <col min="13572" max="13572" width="22" style="95" customWidth="1"/>
    <col min="13573" max="13573" width="19" style="95" customWidth="1"/>
    <col min="13574" max="13574" width="11.6640625" style="95" customWidth="1"/>
    <col min="13575" max="13575" width="8.109375" style="95" customWidth="1"/>
    <col min="13576" max="13822" width="11.44140625" style="95"/>
    <col min="13823" max="13823" width="7.33203125" style="95" customWidth="1"/>
    <col min="13824" max="13824" width="25.109375" style="95" customWidth="1"/>
    <col min="13825" max="13825" width="17.77734375" style="95" customWidth="1"/>
    <col min="13826" max="13826" width="13" style="95" customWidth="1"/>
    <col min="13827" max="13827" width="1.6640625" style="95" customWidth="1"/>
    <col min="13828" max="13828" width="22" style="95" customWidth="1"/>
    <col min="13829" max="13829" width="19" style="95" customWidth="1"/>
    <col min="13830" max="13830" width="11.6640625" style="95" customWidth="1"/>
    <col min="13831" max="13831" width="8.109375" style="95" customWidth="1"/>
    <col min="13832" max="14078" width="11.44140625" style="95"/>
    <col min="14079" max="14079" width="7.33203125" style="95" customWidth="1"/>
    <col min="14080" max="14080" width="25.109375" style="95" customWidth="1"/>
    <col min="14081" max="14081" width="17.77734375" style="95" customWidth="1"/>
    <col min="14082" max="14082" width="13" style="95" customWidth="1"/>
    <col min="14083" max="14083" width="1.6640625" style="95" customWidth="1"/>
    <col min="14084" max="14084" width="22" style="95" customWidth="1"/>
    <col min="14085" max="14085" width="19" style="95" customWidth="1"/>
    <col min="14086" max="14086" width="11.6640625" style="95" customWidth="1"/>
    <col min="14087" max="14087" width="8.109375" style="95" customWidth="1"/>
    <col min="14088" max="14334" width="11.44140625" style="95"/>
    <col min="14335" max="14335" width="7.33203125" style="95" customWidth="1"/>
    <col min="14336" max="14336" width="25.109375" style="95" customWidth="1"/>
    <col min="14337" max="14337" width="17.77734375" style="95" customWidth="1"/>
    <col min="14338" max="14338" width="13" style="95" customWidth="1"/>
    <col min="14339" max="14339" width="1.6640625" style="95" customWidth="1"/>
    <col min="14340" max="14340" width="22" style="95" customWidth="1"/>
    <col min="14341" max="14341" width="19" style="95" customWidth="1"/>
    <col min="14342" max="14342" width="11.6640625" style="95" customWidth="1"/>
    <col min="14343" max="14343" width="8.109375" style="95" customWidth="1"/>
    <col min="14344" max="14590" width="11.44140625" style="95"/>
    <col min="14591" max="14591" width="7.33203125" style="95" customWidth="1"/>
    <col min="14592" max="14592" width="25.109375" style="95" customWidth="1"/>
    <col min="14593" max="14593" width="17.77734375" style="95" customWidth="1"/>
    <col min="14594" max="14594" width="13" style="95" customWidth="1"/>
    <col min="14595" max="14595" width="1.6640625" style="95" customWidth="1"/>
    <col min="14596" max="14596" width="22" style="95" customWidth="1"/>
    <col min="14597" max="14597" width="19" style="95" customWidth="1"/>
    <col min="14598" max="14598" width="11.6640625" style="95" customWidth="1"/>
    <col min="14599" max="14599" width="8.109375" style="95" customWidth="1"/>
    <col min="14600" max="14846" width="11.44140625" style="95"/>
    <col min="14847" max="14847" width="7.33203125" style="95" customWidth="1"/>
    <col min="14848" max="14848" width="25.109375" style="95" customWidth="1"/>
    <col min="14849" max="14849" width="17.77734375" style="95" customWidth="1"/>
    <col min="14850" max="14850" width="13" style="95" customWidth="1"/>
    <col min="14851" max="14851" width="1.6640625" style="95" customWidth="1"/>
    <col min="14852" max="14852" width="22" style="95" customWidth="1"/>
    <col min="14853" max="14853" width="19" style="95" customWidth="1"/>
    <col min="14854" max="14854" width="11.6640625" style="95" customWidth="1"/>
    <col min="14855" max="14855" width="8.109375" style="95" customWidth="1"/>
    <col min="14856" max="15102" width="11.44140625" style="95"/>
    <col min="15103" max="15103" width="7.33203125" style="95" customWidth="1"/>
    <col min="15104" max="15104" width="25.109375" style="95" customWidth="1"/>
    <col min="15105" max="15105" width="17.77734375" style="95" customWidth="1"/>
    <col min="15106" max="15106" width="13" style="95" customWidth="1"/>
    <col min="15107" max="15107" width="1.6640625" style="95" customWidth="1"/>
    <col min="15108" max="15108" width="22" style="95" customWidth="1"/>
    <col min="15109" max="15109" width="19" style="95" customWidth="1"/>
    <col min="15110" max="15110" width="11.6640625" style="95" customWidth="1"/>
    <col min="15111" max="15111" width="8.109375" style="95" customWidth="1"/>
    <col min="15112" max="15358" width="11.44140625" style="95"/>
    <col min="15359" max="15359" width="7.33203125" style="95" customWidth="1"/>
    <col min="15360" max="15360" width="25.109375" style="95" customWidth="1"/>
    <col min="15361" max="15361" width="17.77734375" style="95" customWidth="1"/>
    <col min="15362" max="15362" width="13" style="95" customWidth="1"/>
    <col min="15363" max="15363" width="1.6640625" style="95" customWidth="1"/>
    <col min="15364" max="15364" width="22" style="95" customWidth="1"/>
    <col min="15365" max="15365" width="19" style="95" customWidth="1"/>
    <col min="15366" max="15366" width="11.6640625" style="95" customWidth="1"/>
    <col min="15367" max="15367" width="8.109375" style="95" customWidth="1"/>
    <col min="15368" max="15614" width="11.44140625" style="95"/>
    <col min="15615" max="15615" width="7.33203125" style="95" customWidth="1"/>
    <col min="15616" max="15616" width="25.109375" style="95" customWidth="1"/>
    <col min="15617" max="15617" width="17.77734375" style="95" customWidth="1"/>
    <col min="15618" max="15618" width="13" style="95" customWidth="1"/>
    <col min="15619" max="15619" width="1.6640625" style="95" customWidth="1"/>
    <col min="15620" max="15620" width="22" style="95" customWidth="1"/>
    <col min="15621" max="15621" width="19" style="95" customWidth="1"/>
    <col min="15622" max="15622" width="11.6640625" style="95" customWidth="1"/>
    <col min="15623" max="15623" width="8.109375" style="95" customWidth="1"/>
    <col min="15624" max="15870" width="11.44140625" style="95"/>
    <col min="15871" max="15871" width="7.33203125" style="95" customWidth="1"/>
    <col min="15872" max="15872" width="25.109375" style="95" customWidth="1"/>
    <col min="15873" max="15873" width="17.77734375" style="95" customWidth="1"/>
    <col min="15874" max="15874" width="13" style="95" customWidth="1"/>
    <col min="15875" max="15875" width="1.6640625" style="95" customWidth="1"/>
    <col min="15876" max="15876" width="22" style="95" customWidth="1"/>
    <col min="15877" max="15877" width="19" style="95" customWidth="1"/>
    <col min="15878" max="15878" width="11.6640625" style="95" customWidth="1"/>
    <col min="15879" max="15879" width="8.109375" style="95" customWidth="1"/>
    <col min="15880" max="16126" width="11.44140625" style="95"/>
    <col min="16127" max="16127" width="7.33203125" style="95" customWidth="1"/>
    <col min="16128" max="16128" width="25.109375" style="95" customWidth="1"/>
    <col min="16129" max="16129" width="17.77734375" style="95" customWidth="1"/>
    <col min="16130" max="16130" width="13" style="95" customWidth="1"/>
    <col min="16131" max="16131" width="1.6640625" style="95" customWidth="1"/>
    <col min="16132" max="16132" width="22" style="95" customWidth="1"/>
    <col min="16133" max="16133" width="19" style="95" customWidth="1"/>
    <col min="16134" max="16134" width="11.6640625" style="95" customWidth="1"/>
    <col min="16135" max="16135" width="8.109375" style="95" customWidth="1"/>
    <col min="16136" max="16384" width="11.44140625" style="95"/>
  </cols>
  <sheetData>
    <row r="1" spans="1:8" ht="13.8" thickBot="1"/>
    <row r="2" spans="1:8" ht="18.600000000000001" customHeight="1" thickTop="1">
      <c r="B2" s="274" t="s">
        <v>287</v>
      </c>
      <c r="C2" s="275"/>
      <c r="D2" s="275"/>
      <c r="E2" s="275"/>
      <c r="F2" s="275"/>
      <c r="G2" s="275"/>
      <c r="H2" s="276"/>
    </row>
    <row r="3" spans="1:8" ht="18" customHeight="1" thickBot="1">
      <c r="B3" s="277"/>
      <c r="C3" s="278"/>
      <c r="D3" s="278"/>
      <c r="E3" s="278"/>
      <c r="F3" s="278"/>
      <c r="G3" s="278"/>
      <c r="H3" s="279"/>
    </row>
    <row r="4" spans="1:8" ht="14.4" thickTop="1" thickBot="1">
      <c r="B4" s="96"/>
      <c r="C4" s="96"/>
      <c r="D4" s="96"/>
      <c r="E4" s="96"/>
      <c r="F4" s="96"/>
      <c r="G4" s="96"/>
      <c r="H4" s="96"/>
    </row>
    <row r="5" spans="1:8" ht="13.8" thickTop="1">
      <c r="A5" s="97"/>
      <c r="B5" s="280" t="s">
        <v>288</v>
      </c>
      <c r="C5" s="281"/>
      <c r="D5" s="282"/>
      <c r="E5" s="126"/>
      <c r="F5" s="280" t="s">
        <v>289</v>
      </c>
      <c r="G5" s="281"/>
      <c r="H5" s="282"/>
    </row>
    <row r="6" spans="1:8" ht="13.8" thickBot="1">
      <c r="A6" s="97"/>
      <c r="B6" s="283"/>
      <c r="C6" s="284"/>
      <c r="D6" s="285"/>
      <c r="E6" s="127"/>
      <c r="F6" s="283"/>
      <c r="G6" s="284"/>
      <c r="H6" s="285"/>
    </row>
    <row r="7" spans="1:8" ht="13.8" thickTop="1">
      <c r="A7" s="97"/>
      <c r="B7" s="98" t="s">
        <v>290</v>
      </c>
      <c r="C7" s="99"/>
      <c r="D7" s="120">
        <f>SUM(D8:D12)</f>
        <v>1250</v>
      </c>
      <c r="E7" s="127"/>
      <c r="F7" s="98" t="s">
        <v>291</v>
      </c>
      <c r="G7" s="99"/>
      <c r="H7" s="114">
        <f>SUM(H8:H10)</f>
        <v>22000</v>
      </c>
    </row>
    <row r="8" spans="1:8">
      <c r="A8" s="97"/>
      <c r="B8" s="100" t="s">
        <v>292</v>
      </c>
      <c r="C8" s="99"/>
      <c r="D8" s="121">
        <v>500</v>
      </c>
      <c r="E8" s="127"/>
      <c r="F8" s="100" t="s">
        <v>293</v>
      </c>
      <c r="G8" s="101"/>
      <c r="H8" s="115">
        <v>22000</v>
      </c>
    </row>
    <row r="9" spans="1:8">
      <c r="A9" s="97"/>
      <c r="B9" s="100" t="s">
        <v>294</v>
      </c>
      <c r="C9" s="99"/>
      <c r="D9" s="121">
        <v>0</v>
      </c>
      <c r="E9" s="127"/>
      <c r="F9" s="100" t="s">
        <v>295</v>
      </c>
      <c r="G9" s="101"/>
      <c r="H9" s="115">
        <v>0</v>
      </c>
    </row>
    <row r="10" spans="1:8">
      <c r="A10" s="97"/>
      <c r="B10" s="100" t="s">
        <v>296</v>
      </c>
      <c r="C10" s="99"/>
      <c r="D10" s="121">
        <v>0</v>
      </c>
      <c r="E10" s="127"/>
      <c r="F10" s="100" t="s">
        <v>297</v>
      </c>
      <c r="G10" s="101"/>
      <c r="H10" s="115">
        <v>0</v>
      </c>
    </row>
    <row r="11" spans="1:8">
      <c r="A11" s="97"/>
      <c r="B11" s="100" t="s">
        <v>332</v>
      </c>
      <c r="C11" s="99"/>
      <c r="D11" s="121">
        <v>750</v>
      </c>
      <c r="E11" s="127"/>
      <c r="G11" s="99"/>
      <c r="H11" s="115"/>
    </row>
    <row r="12" spans="1:8">
      <c r="A12" s="97"/>
      <c r="B12" s="100" t="s">
        <v>298</v>
      </c>
      <c r="C12" s="99"/>
      <c r="D12" s="121">
        <v>0</v>
      </c>
      <c r="E12" s="127"/>
      <c r="G12" s="99"/>
      <c r="H12" s="116"/>
    </row>
    <row r="13" spans="1:8">
      <c r="A13" s="97"/>
      <c r="B13" s="102"/>
      <c r="C13" s="103"/>
      <c r="D13" s="122"/>
      <c r="E13" s="127"/>
      <c r="F13" s="98" t="s">
        <v>299</v>
      </c>
      <c r="G13" s="99"/>
      <c r="H13" s="114">
        <v>0</v>
      </c>
    </row>
    <row r="14" spans="1:8">
      <c r="A14" s="97"/>
      <c r="C14" s="99"/>
      <c r="D14" s="122"/>
      <c r="E14" s="127"/>
      <c r="F14" s="95" t="s">
        <v>300</v>
      </c>
      <c r="G14" s="99"/>
      <c r="H14" s="117"/>
    </row>
    <row r="15" spans="1:8">
      <c r="A15" s="273"/>
      <c r="B15" s="98" t="s">
        <v>301</v>
      </c>
      <c r="C15" s="99"/>
      <c r="D15" s="120">
        <f>SUM(D16:D20)</f>
        <v>750</v>
      </c>
      <c r="E15" s="127"/>
      <c r="G15" s="99"/>
      <c r="H15" s="117"/>
    </row>
    <row r="16" spans="1:8">
      <c r="A16" s="273"/>
      <c r="B16" s="100" t="s">
        <v>302</v>
      </c>
      <c r="C16" s="99"/>
      <c r="D16" s="121">
        <v>0</v>
      </c>
      <c r="E16" s="127"/>
      <c r="F16" s="98" t="s">
        <v>303</v>
      </c>
      <c r="G16" s="99"/>
      <c r="H16" s="118">
        <v>0</v>
      </c>
    </row>
    <row r="17" spans="1:8">
      <c r="A17" s="273"/>
      <c r="B17" s="100" t="s">
        <v>304</v>
      </c>
      <c r="C17" s="99"/>
      <c r="D17" s="121">
        <v>750</v>
      </c>
      <c r="E17" s="127"/>
      <c r="F17" s="102"/>
      <c r="G17" s="103"/>
      <c r="H17" s="117"/>
    </row>
    <row r="18" spans="1:8" ht="12.75" customHeight="1">
      <c r="A18" s="273"/>
      <c r="B18" s="100" t="s">
        <v>305</v>
      </c>
      <c r="C18" s="99"/>
      <c r="D18" s="121">
        <v>0</v>
      </c>
      <c r="E18" s="127"/>
      <c r="G18" s="99"/>
      <c r="H18" s="117"/>
    </row>
    <row r="19" spans="1:8">
      <c r="A19" s="273"/>
      <c r="B19" s="100" t="s">
        <v>306</v>
      </c>
      <c r="C19" s="99"/>
      <c r="D19" s="121">
        <v>0</v>
      </c>
      <c r="E19" s="127"/>
      <c r="F19" s="98" t="s">
        <v>307</v>
      </c>
      <c r="G19" s="99"/>
      <c r="H19" s="118">
        <v>0</v>
      </c>
    </row>
    <row r="20" spans="1:8">
      <c r="A20" s="273"/>
      <c r="B20" s="100"/>
      <c r="C20" s="99"/>
      <c r="D20" s="121"/>
      <c r="E20" s="127"/>
      <c r="F20" s="98"/>
      <c r="G20" s="99"/>
      <c r="H20" s="117"/>
    </row>
    <row r="21" spans="1:8">
      <c r="A21" s="273"/>
      <c r="B21" s="98" t="s">
        <v>308</v>
      </c>
      <c r="C21" s="99"/>
      <c r="D21" s="120">
        <f>SUM(D22:D28)</f>
        <v>48000</v>
      </c>
      <c r="E21" s="127"/>
      <c r="G21" s="99"/>
      <c r="H21" s="117"/>
    </row>
    <row r="22" spans="1:8">
      <c r="A22" s="273"/>
      <c r="B22" s="104" t="s">
        <v>309</v>
      </c>
      <c r="C22" s="99"/>
      <c r="D22" s="121">
        <v>0</v>
      </c>
      <c r="E22" s="127"/>
      <c r="G22" s="99"/>
      <c r="H22" s="117"/>
    </row>
    <row r="23" spans="1:8">
      <c r="A23" s="273"/>
      <c r="B23" s="104" t="s">
        <v>310</v>
      </c>
      <c r="C23" s="99"/>
      <c r="D23" s="121">
        <v>39000</v>
      </c>
      <c r="E23" s="127"/>
      <c r="G23" s="99"/>
      <c r="H23" s="117"/>
    </row>
    <row r="24" spans="1:8">
      <c r="A24" s="273"/>
      <c r="B24" s="104" t="s">
        <v>311</v>
      </c>
      <c r="C24" s="99"/>
      <c r="D24" s="121">
        <v>0</v>
      </c>
      <c r="E24" s="127"/>
      <c r="F24" s="98" t="s">
        <v>312</v>
      </c>
      <c r="G24" s="99"/>
      <c r="H24" s="118">
        <v>0</v>
      </c>
    </row>
    <row r="25" spans="1:8">
      <c r="A25" s="273"/>
      <c r="B25" s="104" t="s">
        <v>339</v>
      </c>
      <c r="C25" s="99"/>
      <c r="D25" s="121">
        <f>6000+500+2500</f>
        <v>9000</v>
      </c>
      <c r="E25" s="127"/>
      <c r="G25" s="99"/>
      <c r="H25" s="117"/>
    </row>
    <row r="26" spans="1:8">
      <c r="A26" s="273"/>
      <c r="B26" s="104" t="s">
        <v>313</v>
      </c>
      <c r="C26" s="99"/>
      <c r="D26" s="121">
        <v>0</v>
      </c>
      <c r="E26" s="127"/>
      <c r="G26" s="99"/>
      <c r="H26" s="117"/>
    </row>
    <row r="27" spans="1:8">
      <c r="A27" s="273"/>
      <c r="B27" s="105" t="s">
        <v>314</v>
      </c>
      <c r="C27" s="99"/>
      <c r="D27" s="121">
        <v>0</v>
      </c>
      <c r="E27" s="127"/>
      <c r="G27" s="99"/>
      <c r="H27" s="117"/>
    </row>
    <row r="28" spans="1:8">
      <c r="A28" s="273"/>
      <c r="B28" s="105" t="s">
        <v>315</v>
      </c>
      <c r="C28" s="99"/>
      <c r="D28" s="121">
        <v>0</v>
      </c>
      <c r="E28" s="127"/>
      <c r="F28" s="133"/>
      <c r="G28" s="134"/>
      <c r="H28" s="117"/>
    </row>
    <row r="29" spans="1:8" ht="15" customHeight="1">
      <c r="A29" s="273"/>
      <c r="B29" s="98" t="s">
        <v>316</v>
      </c>
      <c r="C29" s="99"/>
      <c r="D29" s="120">
        <f>SUM(D30:D31)</f>
        <v>0</v>
      </c>
      <c r="E29" s="127"/>
      <c r="G29" s="99"/>
      <c r="H29" s="117"/>
    </row>
    <row r="30" spans="1:8">
      <c r="A30" s="273"/>
      <c r="B30" s="100" t="s">
        <v>317</v>
      </c>
      <c r="C30" s="99"/>
      <c r="D30" s="121">
        <v>0</v>
      </c>
      <c r="E30" s="127"/>
      <c r="F30" s="98" t="s">
        <v>318</v>
      </c>
      <c r="G30" s="99"/>
      <c r="H30" s="118">
        <v>37000</v>
      </c>
    </row>
    <row r="31" spans="1:8">
      <c r="A31" s="273"/>
      <c r="B31" s="100" t="s">
        <v>319</v>
      </c>
      <c r="C31" s="99"/>
      <c r="D31" s="121">
        <v>0</v>
      </c>
      <c r="E31" s="127"/>
      <c r="F31" s="98"/>
      <c r="G31" s="99"/>
      <c r="H31" s="117"/>
    </row>
    <row r="32" spans="1:8">
      <c r="A32" s="273"/>
      <c r="B32" s="106" t="s">
        <v>320</v>
      </c>
      <c r="C32" s="103"/>
      <c r="D32" s="122"/>
      <c r="E32" s="127"/>
      <c r="G32" s="99"/>
      <c r="H32" s="117"/>
    </row>
    <row r="33" spans="1:8">
      <c r="A33" s="97"/>
      <c r="C33" s="99"/>
      <c r="D33" s="122"/>
      <c r="E33" s="127"/>
      <c r="G33" s="99"/>
      <c r="H33" s="117"/>
    </row>
    <row r="34" spans="1:8">
      <c r="A34" s="97"/>
      <c r="B34" s="98" t="s">
        <v>321</v>
      </c>
      <c r="C34" s="99"/>
      <c r="D34" s="120">
        <f>'Trésorerie année 1'!B18+'Trésorerie année 1'!B21+'Trésorerie année 1'!B19</f>
        <v>6374.22</v>
      </c>
      <c r="E34" s="127"/>
      <c r="G34" s="99"/>
      <c r="H34" s="117"/>
    </row>
    <row r="35" spans="1:8">
      <c r="A35" s="97"/>
      <c r="B35" s="107" t="s">
        <v>322</v>
      </c>
      <c r="C35" s="99"/>
      <c r="D35" s="120">
        <v>0</v>
      </c>
      <c r="E35" s="127"/>
      <c r="G35" s="99"/>
      <c r="H35" s="117"/>
    </row>
    <row r="36" spans="1:8" ht="13.8">
      <c r="A36" s="97"/>
      <c r="B36" s="108"/>
      <c r="C36" s="99"/>
      <c r="D36" s="122"/>
      <c r="E36" s="127"/>
      <c r="G36" s="99"/>
      <c r="H36" s="117"/>
    </row>
    <row r="37" spans="1:8">
      <c r="A37" s="97"/>
      <c r="B37" s="98" t="s">
        <v>323</v>
      </c>
      <c r="C37" s="99"/>
      <c r="D37" s="120">
        <f>H40-SUM(D35,D34,D29,D21,D15,D7)</f>
        <v>2625.7799999999988</v>
      </c>
      <c r="E37" s="127"/>
      <c r="G37" s="99"/>
      <c r="H37" s="117"/>
    </row>
    <row r="38" spans="1:8">
      <c r="A38" s="97"/>
      <c r="B38" s="95" t="s">
        <v>324</v>
      </c>
      <c r="C38" s="99"/>
      <c r="D38" s="122"/>
      <c r="E38" s="127"/>
      <c r="G38" s="99"/>
      <c r="H38" s="117"/>
    </row>
    <row r="39" spans="1:8" ht="13.8" thickBot="1">
      <c r="A39" s="97"/>
      <c r="B39" s="109"/>
      <c r="C39" s="110"/>
      <c r="D39" s="119"/>
      <c r="E39" s="127"/>
      <c r="F39" s="109"/>
      <c r="G39" s="110"/>
      <c r="H39" s="119"/>
    </row>
    <row r="40" spans="1:8" ht="16.8" thickTop="1" thickBot="1">
      <c r="A40" s="97"/>
      <c r="B40" s="129" t="s">
        <v>325</v>
      </c>
      <c r="C40" s="130"/>
      <c r="D40" s="131">
        <f>D7+D15+D21+D29+D34+D35+D37</f>
        <v>59000</v>
      </c>
      <c r="E40" s="128"/>
      <c r="F40" s="129" t="s">
        <v>325</v>
      </c>
      <c r="G40" s="130"/>
      <c r="H40" s="132">
        <f>SUM(H7,H13,H16,H19,H24,H30)</f>
        <v>59000</v>
      </c>
    </row>
    <row r="41" spans="1:8" ht="13.8" thickTop="1"/>
    <row r="52" spans="1:1">
      <c r="A52" s="111"/>
    </row>
    <row r="53" spans="1:1">
      <c r="A53" s="112"/>
    </row>
  </sheetData>
  <mergeCells count="4">
    <mergeCell ref="A15:A32"/>
    <mergeCell ref="B2:H3"/>
    <mergeCell ref="B5:D6"/>
    <mergeCell ref="F5:H6"/>
  </mergeCells>
  <printOptions horizontalCentered="1" verticalCentered="1"/>
  <pageMargins left="0.79000000000000015" right="0.79000000000000015" top="0.98" bottom="0.24000000000000002" header="0.49" footer="0.49"/>
  <pageSetup paperSize="9" scale="90" orientation="landscape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E4D58-B59A-4132-A6BE-1895A9CC7B01}">
  <dimension ref="B2:J319"/>
  <sheetViews>
    <sheetView topLeftCell="A25" workbookViewId="0">
      <selection activeCell="G49" sqref="G49"/>
    </sheetView>
  </sheetViews>
  <sheetFormatPr baseColWidth="10" defaultRowHeight="14.4"/>
  <cols>
    <col min="1" max="1" width="2.88671875" customWidth="1"/>
    <col min="2" max="2" width="24.88671875" bestFit="1" customWidth="1"/>
    <col min="6" max="6" width="14.88671875" bestFit="1" customWidth="1"/>
    <col min="7" max="7" width="18" customWidth="1"/>
    <col min="10" max="10" width="17.88671875" bestFit="1" customWidth="1"/>
  </cols>
  <sheetData>
    <row r="2" spans="2:10">
      <c r="B2" s="286" t="s">
        <v>463</v>
      </c>
      <c r="C2" s="286"/>
      <c r="D2" s="286"/>
      <c r="E2" s="286"/>
      <c r="F2" s="286"/>
      <c r="G2" s="286"/>
      <c r="H2" s="286"/>
      <c r="I2" s="286"/>
      <c r="J2" s="286"/>
    </row>
    <row r="3" spans="2:10">
      <c r="B3" s="286"/>
      <c r="C3" s="286"/>
      <c r="D3" s="286"/>
      <c r="E3" s="286"/>
      <c r="F3" s="286"/>
      <c r="G3" s="286"/>
      <c r="H3" s="286"/>
      <c r="I3" s="286"/>
      <c r="J3" s="286"/>
    </row>
    <row r="5" spans="2:10" ht="15.6">
      <c r="B5" s="287" t="s">
        <v>464</v>
      </c>
      <c r="C5" s="287"/>
    </row>
    <row r="6" spans="2:10">
      <c r="B6" s="163" t="s">
        <v>465</v>
      </c>
      <c r="C6" s="175">
        <f>Paramètres!C15</f>
        <v>37000</v>
      </c>
      <c r="D6" s="176"/>
    </row>
    <row r="7" spans="2:10">
      <c r="B7" s="163" t="s">
        <v>466</v>
      </c>
      <c r="C7" s="177">
        <f>Paramètres!C16</f>
        <v>3.5000000000000003E-2</v>
      </c>
      <c r="D7" s="176"/>
    </row>
    <row r="8" spans="2:10">
      <c r="B8" s="163" t="s">
        <v>9</v>
      </c>
      <c r="C8" s="178">
        <f>Paramètres!C17</f>
        <v>5</v>
      </c>
      <c r="D8" s="176"/>
    </row>
    <row r="9" spans="2:10">
      <c r="B9" s="163" t="s">
        <v>467</v>
      </c>
      <c r="C9" s="179">
        <v>45658</v>
      </c>
      <c r="D9" s="176"/>
    </row>
    <row r="11" spans="2:10" ht="15.6">
      <c r="B11" s="287" t="s">
        <v>468</v>
      </c>
      <c r="C11" s="287"/>
    </row>
    <row r="12" spans="2:10">
      <c r="B12" s="180" t="s">
        <v>469</v>
      </c>
      <c r="C12" s="181">
        <f>C8*12</f>
        <v>60</v>
      </c>
      <c r="D12" s="176"/>
    </row>
    <row r="13" spans="2:10">
      <c r="B13" s="180" t="s">
        <v>470</v>
      </c>
      <c r="C13" s="182">
        <f>PMT(C7/12,C12,-C6)</f>
        <v>673.09456389948684</v>
      </c>
      <c r="D13" s="176"/>
    </row>
    <row r="14" spans="2:10">
      <c r="B14" s="180" t="s">
        <v>471</v>
      </c>
      <c r="C14" s="182">
        <f>C13*C12</f>
        <v>40385.673833969209</v>
      </c>
      <c r="D14" s="176"/>
    </row>
    <row r="15" spans="2:10">
      <c r="B15" s="180" t="s">
        <v>472</v>
      </c>
      <c r="C15" s="182">
        <f>C14-C6</f>
        <v>3385.6738339692092</v>
      </c>
      <c r="D15" s="176"/>
    </row>
    <row r="17" spans="4:10" ht="31.2">
      <c r="D17" s="174" t="s">
        <v>473</v>
      </c>
      <c r="E17" s="174" t="s">
        <v>474</v>
      </c>
      <c r="F17" s="174" t="s">
        <v>475</v>
      </c>
      <c r="G17" s="183" t="s">
        <v>476</v>
      </c>
      <c r="H17" s="174" t="s">
        <v>477</v>
      </c>
      <c r="I17" s="174" t="s">
        <v>400</v>
      </c>
      <c r="J17" s="174" t="s">
        <v>478</v>
      </c>
    </row>
    <row r="18" spans="4:10">
      <c r="D18" s="145">
        <v>1</v>
      </c>
      <c r="E18" s="184">
        <f>EOMONTH(C9,0)</f>
        <v>45688</v>
      </c>
      <c r="F18" s="185">
        <f>C6</f>
        <v>37000</v>
      </c>
      <c r="G18" s="186">
        <f>IF(D18="","",$C$13)</f>
        <v>673.09456389948684</v>
      </c>
      <c r="H18" s="187">
        <f>IF(D18="","",F18*$C$7/12)</f>
        <v>107.91666666666669</v>
      </c>
      <c r="I18" s="186">
        <f>IF(D18="","",G18-H18)</f>
        <v>565.17789723282021</v>
      </c>
      <c r="J18" s="185">
        <f>IF(D18="","",F18-I18)</f>
        <v>36434.822102767183</v>
      </c>
    </row>
    <row r="19" spans="4:10">
      <c r="D19" s="145">
        <f>IFERROR(IF(D18+1&lt;=$C$12,D18+1,""),"")</f>
        <v>2</v>
      </c>
      <c r="E19" s="184">
        <f>IF(D19="","",EOMONTH(E18,1))</f>
        <v>45716</v>
      </c>
      <c r="F19" s="185">
        <f>IF(D19="","",J18)</f>
        <v>36434.822102767183</v>
      </c>
      <c r="G19" s="186">
        <f t="shared" ref="G19:G82" si="0">IF(D19="","",$C$13)</f>
        <v>673.09456389948684</v>
      </c>
      <c r="H19" s="187">
        <f t="shared" ref="H19:H82" si="1">IF(D19="","",F19*$C$7/12)</f>
        <v>106.26823113307096</v>
      </c>
      <c r="I19" s="186">
        <f t="shared" ref="I19:I82" si="2">IF(D19="","",G19-H19)</f>
        <v>566.82633276641593</v>
      </c>
      <c r="J19" s="185">
        <f t="shared" ref="J19:J82" si="3">IF(D19="","",F19-I19)</f>
        <v>35867.995770000765</v>
      </c>
    </row>
    <row r="20" spans="4:10">
      <c r="D20" s="145">
        <f t="shared" ref="D20:D83" si="4">IFERROR(IF(D19+1&lt;=$C$12,D19+1,""),"")</f>
        <v>3</v>
      </c>
      <c r="E20" s="184">
        <f t="shared" ref="E20:E83" si="5">IF(D20="","",EOMONTH(E19,1))</f>
        <v>45747</v>
      </c>
      <c r="F20" s="185">
        <f t="shared" ref="F20:F83" si="6">IF(D20="","",J19)</f>
        <v>35867.995770000765</v>
      </c>
      <c r="G20" s="186">
        <f t="shared" si="0"/>
        <v>673.09456389948684</v>
      </c>
      <c r="H20" s="187">
        <f t="shared" si="1"/>
        <v>104.61498766250224</v>
      </c>
      <c r="I20" s="186">
        <f t="shared" si="2"/>
        <v>568.4795762369846</v>
      </c>
      <c r="J20" s="185">
        <f t="shared" si="3"/>
        <v>35299.516193763782</v>
      </c>
    </row>
    <row r="21" spans="4:10">
      <c r="D21" s="145">
        <f t="shared" si="4"/>
        <v>4</v>
      </c>
      <c r="E21" s="184">
        <f t="shared" si="5"/>
        <v>45777</v>
      </c>
      <c r="F21" s="185">
        <f t="shared" si="6"/>
        <v>35299.516193763782</v>
      </c>
      <c r="G21" s="186">
        <f t="shared" si="0"/>
        <v>673.09456389948684</v>
      </c>
      <c r="H21" s="187">
        <f t="shared" si="1"/>
        <v>102.95692223181105</v>
      </c>
      <c r="I21" s="186">
        <f t="shared" si="2"/>
        <v>570.13764166767578</v>
      </c>
      <c r="J21" s="185">
        <f t="shared" si="3"/>
        <v>34729.37855209611</v>
      </c>
    </row>
    <row r="22" spans="4:10">
      <c r="D22" s="145">
        <f t="shared" si="4"/>
        <v>5</v>
      </c>
      <c r="E22" s="184">
        <f t="shared" si="5"/>
        <v>45808</v>
      </c>
      <c r="F22" s="185">
        <f t="shared" si="6"/>
        <v>34729.37855209611</v>
      </c>
      <c r="G22" s="186">
        <f t="shared" si="0"/>
        <v>673.09456389948684</v>
      </c>
      <c r="H22" s="187">
        <f t="shared" si="1"/>
        <v>101.29402077694699</v>
      </c>
      <c r="I22" s="186">
        <f t="shared" si="2"/>
        <v>571.80054312253981</v>
      </c>
      <c r="J22" s="185">
        <f t="shared" si="3"/>
        <v>34157.578008973571</v>
      </c>
    </row>
    <row r="23" spans="4:10">
      <c r="D23" s="145">
        <f t="shared" si="4"/>
        <v>6</v>
      </c>
      <c r="E23" s="184">
        <f t="shared" si="5"/>
        <v>45838</v>
      </c>
      <c r="F23" s="185">
        <f t="shared" si="6"/>
        <v>34157.578008973571</v>
      </c>
      <c r="G23" s="186">
        <f t="shared" si="0"/>
        <v>673.09456389948684</v>
      </c>
      <c r="H23" s="187">
        <f t="shared" si="1"/>
        <v>99.626269192839587</v>
      </c>
      <c r="I23" s="186">
        <f t="shared" si="2"/>
        <v>573.46829470664727</v>
      </c>
      <c r="J23" s="185">
        <f t="shared" si="3"/>
        <v>33584.109714266924</v>
      </c>
    </row>
    <row r="24" spans="4:10">
      <c r="D24" s="145">
        <f t="shared" si="4"/>
        <v>7</v>
      </c>
      <c r="E24" s="184">
        <f t="shared" si="5"/>
        <v>45869</v>
      </c>
      <c r="F24" s="185">
        <f t="shared" si="6"/>
        <v>33584.109714266924</v>
      </c>
      <c r="G24" s="186">
        <f t="shared" si="0"/>
        <v>673.09456389948684</v>
      </c>
      <c r="H24" s="187">
        <f t="shared" si="1"/>
        <v>97.953653333278524</v>
      </c>
      <c r="I24" s="186">
        <f t="shared" si="2"/>
        <v>575.14091056620828</v>
      </c>
      <c r="J24" s="185">
        <f t="shared" si="3"/>
        <v>33008.968803700714</v>
      </c>
    </row>
    <row r="25" spans="4:10">
      <c r="D25" s="145">
        <f t="shared" si="4"/>
        <v>8</v>
      </c>
      <c r="E25" s="184">
        <f t="shared" si="5"/>
        <v>45900</v>
      </c>
      <c r="F25" s="185">
        <f t="shared" si="6"/>
        <v>33008.968803700714</v>
      </c>
      <c r="G25" s="186">
        <f t="shared" si="0"/>
        <v>673.09456389948684</v>
      </c>
      <c r="H25" s="187">
        <f t="shared" si="1"/>
        <v>96.276159010793762</v>
      </c>
      <c r="I25" s="186">
        <f t="shared" si="2"/>
        <v>576.81840488869307</v>
      </c>
      <c r="J25" s="185">
        <f t="shared" si="3"/>
        <v>32432.15039881202</v>
      </c>
    </row>
    <row r="26" spans="4:10">
      <c r="D26" s="145">
        <f t="shared" si="4"/>
        <v>9</v>
      </c>
      <c r="E26" s="184">
        <f t="shared" si="5"/>
        <v>45930</v>
      </c>
      <c r="F26" s="185">
        <f t="shared" si="6"/>
        <v>32432.15039881202</v>
      </c>
      <c r="G26" s="186">
        <f t="shared" si="0"/>
        <v>673.09456389948684</v>
      </c>
      <c r="H26" s="187">
        <f t="shared" si="1"/>
        <v>94.593771996535068</v>
      </c>
      <c r="I26" s="186">
        <f t="shared" si="2"/>
        <v>578.50079190295173</v>
      </c>
      <c r="J26" s="185">
        <f t="shared" si="3"/>
        <v>31853.649606909068</v>
      </c>
    </row>
    <row r="27" spans="4:10">
      <c r="D27" s="145">
        <f t="shared" si="4"/>
        <v>10</v>
      </c>
      <c r="E27" s="184">
        <f t="shared" si="5"/>
        <v>45961</v>
      </c>
      <c r="F27" s="185">
        <f t="shared" si="6"/>
        <v>31853.649606909068</v>
      </c>
      <c r="G27" s="186">
        <f t="shared" si="0"/>
        <v>673.09456389948684</v>
      </c>
      <c r="H27" s="187">
        <f t="shared" si="1"/>
        <v>92.906478020151454</v>
      </c>
      <c r="I27" s="186">
        <f t="shared" si="2"/>
        <v>580.1880858793354</v>
      </c>
      <c r="J27" s="185">
        <f t="shared" si="3"/>
        <v>31273.461521029734</v>
      </c>
    </row>
    <row r="28" spans="4:10">
      <c r="D28" s="145">
        <f t="shared" si="4"/>
        <v>11</v>
      </c>
      <c r="E28" s="184">
        <f>IF(D28="","",EOMONTH(E27,1))</f>
        <v>45991</v>
      </c>
      <c r="F28" s="185">
        <f t="shared" si="6"/>
        <v>31273.461521029734</v>
      </c>
      <c r="G28" s="186">
        <f t="shared" si="0"/>
        <v>673.09456389948684</v>
      </c>
      <c r="H28" s="187">
        <f t="shared" si="1"/>
        <v>91.214262769670071</v>
      </c>
      <c r="I28" s="186">
        <f t="shared" si="2"/>
        <v>581.88030112981676</v>
      </c>
      <c r="J28" s="185">
        <f t="shared" si="3"/>
        <v>30691.581219899919</v>
      </c>
    </row>
    <row r="29" spans="4:10">
      <c r="D29" s="145">
        <f t="shared" si="4"/>
        <v>12</v>
      </c>
      <c r="E29" s="184">
        <f t="shared" si="5"/>
        <v>46022</v>
      </c>
      <c r="F29" s="185">
        <f t="shared" si="6"/>
        <v>30691.581219899919</v>
      </c>
      <c r="G29" s="186">
        <f t="shared" si="0"/>
        <v>673.09456389948684</v>
      </c>
      <c r="H29" s="187">
        <f t="shared" si="1"/>
        <v>89.517111891374782</v>
      </c>
      <c r="I29" s="186">
        <f t="shared" si="2"/>
        <v>583.577452008112</v>
      </c>
      <c r="J29" s="185">
        <f t="shared" si="3"/>
        <v>30108.003767891809</v>
      </c>
    </row>
    <row r="30" spans="4:10">
      <c r="D30" s="145">
        <f t="shared" si="4"/>
        <v>13</v>
      </c>
      <c r="E30" s="184">
        <f t="shared" si="5"/>
        <v>46053</v>
      </c>
      <c r="F30" s="185">
        <f t="shared" si="6"/>
        <v>30108.003767891809</v>
      </c>
      <c r="G30" s="186">
        <f t="shared" si="0"/>
        <v>673.09456389948684</v>
      </c>
      <c r="H30" s="187">
        <f t="shared" si="1"/>
        <v>87.815010989684438</v>
      </c>
      <c r="I30" s="186">
        <f t="shared" si="2"/>
        <v>585.27955290980242</v>
      </c>
      <c r="J30" s="185">
        <f t="shared" si="3"/>
        <v>29522.724214982005</v>
      </c>
    </row>
    <row r="31" spans="4:10">
      <c r="D31" s="145">
        <f t="shared" si="4"/>
        <v>14</v>
      </c>
      <c r="E31" s="184">
        <f t="shared" si="5"/>
        <v>46081</v>
      </c>
      <c r="F31" s="185">
        <f t="shared" si="6"/>
        <v>29522.724214982005</v>
      </c>
      <c r="G31" s="186">
        <f t="shared" si="0"/>
        <v>673.09456389948684</v>
      </c>
      <c r="H31" s="187">
        <f t="shared" si="1"/>
        <v>86.107945627030858</v>
      </c>
      <c r="I31" s="186">
        <f t="shared" si="2"/>
        <v>586.98661827245598</v>
      </c>
      <c r="J31" s="185">
        <f t="shared" si="3"/>
        <v>28935.73759670955</v>
      </c>
    </row>
    <row r="32" spans="4:10">
      <c r="D32" s="145">
        <f t="shared" si="4"/>
        <v>15</v>
      </c>
      <c r="E32" s="184">
        <f t="shared" si="5"/>
        <v>46112</v>
      </c>
      <c r="F32" s="185">
        <f t="shared" si="6"/>
        <v>28935.73759670955</v>
      </c>
      <c r="G32" s="186">
        <f t="shared" si="0"/>
        <v>673.09456389948684</v>
      </c>
      <c r="H32" s="187">
        <f t="shared" si="1"/>
        <v>84.395901323736197</v>
      </c>
      <c r="I32" s="186">
        <f t="shared" si="2"/>
        <v>588.69866257575063</v>
      </c>
      <c r="J32" s="185">
        <f t="shared" si="3"/>
        <v>28347.038934133801</v>
      </c>
    </row>
    <row r="33" spans="4:10">
      <c r="D33" s="145">
        <f t="shared" si="4"/>
        <v>16</v>
      </c>
      <c r="E33" s="184">
        <f t="shared" si="5"/>
        <v>46142</v>
      </c>
      <c r="F33" s="185">
        <f t="shared" si="6"/>
        <v>28347.038934133801</v>
      </c>
      <c r="G33" s="186">
        <f t="shared" si="0"/>
        <v>673.09456389948684</v>
      </c>
      <c r="H33" s="187">
        <f t="shared" si="1"/>
        <v>82.678863557890267</v>
      </c>
      <c r="I33" s="186">
        <f t="shared" si="2"/>
        <v>590.41570034159656</v>
      </c>
      <c r="J33" s="185">
        <f t="shared" si="3"/>
        <v>27756.623233792205</v>
      </c>
    </row>
    <row r="34" spans="4:10">
      <c r="D34" s="145">
        <f t="shared" si="4"/>
        <v>17</v>
      </c>
      <c r="E34" s="184">
        <f t="shared" si="5"/>
        <v>46173</v>
      </c>
      <c r="F34" s="185">
        <f t="shared" si="6"/>
        <v>27756.623233792205</v>
      </c>
      <c r="G34" s="186">
        <f t="shared" si="0"/>
        <v>673.09456389948684</v>
      </c>
      <c r="H34" s="187">
        <f t="shared" si="1"/>
        <v>80.956817765227271</v>
      </c>
      <c r="I34" s="186">
        <f t="shared" si="2"/>
        <v>592.1377461342596</v>
      </c>
      <c r="J34" s="185">
        <f t="shared" si="3"/>
        <v>27164.485487657945</v>
      </c>
    </row>
    <row r="35" spans="4:10">
      <c r="D35" s="145">
        <f t="shared" si="4"/>
        <v>18</v>
      </c>
      <c r="E35" s="184">
        <f t="shared" si="5"/>
        <v>46203</v>
      </c>
      <c r="F35" s="185">
        <f t="shared" si="6"/>
        <v>27164.485487657945</v>
      </c>
      <c r="G35" s="186">
        <f t="shared" si="0"/>
        <v>673.09456389948684</v>
      </c>
      <c r="H35" s="187">
        <f t="shared" si="1"/>
        <v>79.229749339002339</v>
      </c>
      <c r="I35" s="186">
        <f t="shared" si="2"/>
        <v>593.86481456048455</v>
      </c>
      <c r="J35" s="185">
        <f t="shared" si="3"/>
        <v>26570.620673097459</v>
      </c>
    </row>
    <row r="36" spans="4:10">
      <c r="D36" s="145">
        <f t="shared" si="4"/>
        <v>19</v>
      </c>
      <c r="E36" s="184">
        <f t="shared" si="5"/>
        <v>46234</v>
      </c>
      <c r="F36" s="185">
        <f t="shared" si="6"/>
        <v>26570.620673097459</v>
      </c>
      <c r="G36" s="186">
        <f t="shared" si="0"/>
        <v>673.09456389948684</v>
      </c>
      <c r="H36" s="187">
        <f t="shared" si="1"/>
        <v>77.497643629867596</v>
      </c>
      <c r="I36" s="186">
        <f t="shared" si="2"/>
        <v>595.5969202696192</v>
      </c>
      <c r="J36" s="185">
        <f t="shared" si="3"/>
        <v>25975.023752827841</v>
      </c>
    </row>
    <row r="37" spans="4:10">
      <c r="D37" s="145">
        <f t="shared" si="4"/>
        <v>20</v>
      </c>
      <c r="E37" s="184">
        <f t="shared" si="5"/>
        <v>46265</v>
      </c>
      <c r="F37" s="185">
        <f t="shared" si="6"/>
        <v>25975.023752827841</v>
      </c>
      <c r="G37" s="186">
        <f t="shared" si="0"/>
        <v>673.09456389948684</v>
      </c>
      <c r="H37" s="187">
        <f t="shared" si="1"/>
        <v>75.760485945747874</v>
      </c>
      <c r="I37" s="186">
        <f t="shared" si="2"/>
        <v>597.33407795373898</v>
      </c>
      <c r="J37" s="185">
        <f t="shared" si="3"/>
        <v>25377.689674874102</v>
      </c>
    </row>
    <row r="38" spans="4:10">
      <c r="D38" s="145">
        <f t="shared" si="4"/>
        <v>21</v>
      </c>
      <c r="E38" s="184">
        <f t="shared" si="5"/>
        <v>46295</v>
      </c>
      <c r="F38" s="185">
        <f t="shared" si="6"/>
        <v>25377.689674874102</v>
      </c>
      <c r="G38" s="186">
        <f t="shared" si="0"/>
        <v>673.09456389948684</v>
      </c>
      <c r="H38" s="187">
        <f t="shared" si="1"/>
        <v>74.018261551716137</v>
      </c>
      <c r="I38" s="186">
        <f t="shared" si="2"/>
        <v>599.07630234777071</v>
      </c>
      <c r="J38" s="185">
        <f t="shared" si="3"/>
        <v>24778.613372526332</v>
      </c>
    </row>
    <row r="39" spans="4:10">
      <c r="D39" s="145">
        <f t="shared" si="4"/>
        <v>22</v>
      </c>
      <c r="E39" s="184">
        <f t="shared" si="5"/>
        <v>46326</v>
      </c>
      <c r="F39" s="185">
        <f t="shared" si="6"/>
        <v>24778.613372526332</v>
      </c>
      <c r="G39" s="186">
        <f t="shared" si="0"/>
        <v>673.09456389948684</v>
      </c>
      <c r="H39" s="187">
        <f t="shared" si="1"/>
        <v>72.270955669868471</v>
      </c>
      <c r="I39" s="186">
        <f t="shared" si="2"/>
        <v>600.82360822961834</v>
      </c>
      <c r="J39" s="185">
        <f t="shared" si="3"/>
        <v>24177.789764296715</v>
      </c>
    </row>
    <row r="40" spans="4:10">
      <c r="D40" s="145">
        <f t="shared" si="4"/>
        <v>23</v>
      </c>
      <c r="E40" s="184">
        <f t="shared" si="5"/>
        <v>46356</v>
      </c>
      <c r="F40" s="185">
        <f t="shared" si="6"/>
        <v>24177.789764296715</v>
      </c>
      <c r="G40" s="186">
        <f t="shared" si="0"/>
        <v>673.09456389948684</v>
      </c>
      <c r="H40" s="187">
        <f t="shared" si="1"/>
        <v>70.518553479198758</v>
      </c>
      <c r="I40" s="186">
        <f t="shared" si="2"/>
        <v>602.57601042028807</v>
      </c>
      <c r="J40" s="185">
        <f t="shared" si="3"/>
        <v>23575.213753876425</v>
      </c>
    </row>
    <row r="41" spans="4:10">
      <c r="D41" s="145">
        <f t="shared" si="4"/>
        <v>24</v>
      </c>
      <c r="E41" s="184">
        <f t="shared" si="5"/>
        <v>46387</v>
      </c>
      <c r="F41" s="185">
        <f t="shared" si="6"/>
        <v>23575.213753876425</v>
      </c>
      <c r="G41" s="186">
        <f t="shared" si="0"/>
        <v>673.09456389948684</v>
      </c>
      <c r="H41" s="187">
        <f t="shared" si="1"/>
        <v>68.761040115472909</v>
      </c>
      <c r="I41" s="186">
        <f t="shared" si="2"/>
        <v>604.33352378401389</v>
      </c>
      <c r="J41" s="185">
        <f t="shared" si="3"/>
        <v>22970.880230092411</v>
      </c>
    </row>
    <row r="42" spans="4:10">
      <c r="D42" s="145">
        <f t="shared" si="4"/>
        <v>25</v>
      </c>
      <c r="E42" s="184">
        <f t="shared" si="5"/>
        <v>46418</v>
      </c>
      <c r="F42" s="185">
        <f t="shared" si="6"/>
        <v>22970.880230092411</v>
      </c>
      <c r="G42" s="186">
        <f t="shared" si="0"/>
        <v>673.09456389948684</v>
      </c>
      <c r="H42" s="187">
        <f t="shared" si="1"/>
        <v>66.998400671102871</v>
      </c>
      <c r="I42" s="186">
        <f t="shared" si="2"/>
        <v>606.09616322838394</v>
      </c>
      <c r="J42" s="185">
        <f t="shared" si="3"/>
        <v>22364.784066864027</v>
      </c>
    </row>
    <row r="43" spans="4:10">
      <c r="D43" s="145">
        <f t="shared" si="4"/>
        <v>26</v>
      </c>
      <c r="E43" s="184">
        <f t="shared" si="5"/>
        <v>46446</v>
      </c>
      <c r="F43" s="185">
        <f t="shared" si="6"/>
        <v>22364.784066864027</v>
      </c>
      <c r="G43" s="186">
        <f t="shared" si="0"/>
        <v>673.09456389948684</v>
      </c>
      <c r="H43" s="187">
        <f t="shared" si="1"/>
        <v>65.23062019502008</v>
      </c>
      <c r="I43" s="186">
        <f t="shared" si="2"/>
        <v>607.86394370446681</v>
      </c>
      <c r="J43" s="185">
        <f t="shared" si="3"/>
        <v>21756.920123159562</v>
      </c>
    </row>
    <row r="44" spans="4:10">
      <c r="D44" s="145">
        <f t="shared" si="4"/>
        <v>27</v>
      </c>
      <c r="E44" s="184">
        <f t="shared" si="5"/>
        <v>46477</v>
      </c>
      <c r="F44" s="185">
        <f t="shared" si="6"/>
        <v>21756.920123159562</v>
      </c>
      <c r="G44" s="186">
        <f t="shared" si="0"/>
        <v>673.09456389948684</v>
      </c>
      <c r="H44" s="187">
        <f t="shared" si="1"/>
        <v>63.457683692548727</v>
      </c>
      <c r="I44" s="186">
        <f t="shared" si="2"/>
        <v>609.63688020693814</v>
      </c>
      <c r="J44" s="185">
        <f t="shared" si="3"/>
        <v>21147.283242952624</v>
      </c>
    </row>
    <row r="45" spans="4:10">
      <c r="D45" s="145">
        <f t="shared" si="4"/>
        <v>28</v>
      </c>
      <c r="E45" s="184">
        <f t="shared" si="5"/>
        <v>46507</v>
      </c>
      <c r="F45" s="185">
        <f t="shared" si="6"/>
        <v>21147.283242952624</v>
      </c>
      <c r="G45" s="186">
        <f t="shared" si="0"/>
        <v>673.09456389948684</v>
      </c>
      <c r="H45" s="187">
        <f t="shared" si="1"/>
        <v>61.679576125278494</v>
      </c>
      <c r="I45" s="186">
        <f t="shared" si="2"/>
        <v>611.41498777420838</v>
      </c>
      <c r="J45" s="185">
        <f t="shared" si="3"/>
        <v>20535.868255178415</v>
      </c>
    </row>
    <row r="46" spans="4:10">
      <c r="D46" s="145">
        <f t="shared" si="4"/>
        <v>29</v>
      </c>
      <c r="E46" s="184">
        <f t="shared" si="5"/>
        <v>46538</v>
      </c>
      <c r="F46" s="185">
        <f t="shared" si="6"/>
        <v>20535.868255178415</v>
      </c>
      <c r="G46" s="186">
        <f t="shared" si="0"/>
        <v>673.09456389948684</v>
      </c>
      <c r="H46" s="187">
        <f t="shared" si="1"/>
        <v>59.896282410937054</v>
      </c>
      <c r="I46" s="186">
        <f t="shared" si="2"/>
        <v>613.19828148854981</v>
      </c>
      <c r="J46" s="185">
        <f t="shared" si="3"/>
        <v>19922.669973689866</v>
      </c>
    </row>
    <row r="47" spans="4:10">
      <c r="D47" s="145">
        <f t="shared" si="4"/>
        <v>30</v>
      </c>
      <c r="E47" s="184">
        <f t="shared" si="5"/>
        <v>46568</v>
      </c>
      <c r="F47" s="185">
        <f t="shared" si="6"/>
        <v>19922.669973689866</v>
      </c>
      <c r="G47" s="186">
        <f t="shared" si="0"/>
        <v>673.09456389948684</v>
      </c>
      <c r="H47" s="187">
        <f t="shared" si="1"/>
        <v>58.107787423262117</v>
      </c>
      <c r="I47" s="186">
        <f t="shared" si="2"/>
        <v>614.98677647622469</v>
      </c>
      <c r="J47" s="185">
        <f t="shared" si="3"/>
        <v>19307.683197213642</v>
      </c>
    </row>
    <row r="48" spans="4:10">
      <c r="D48" s="145">
        <f t="shared" si="4"/>
        <v>31</v>
      </c>
      <c r="E48" s="184">
        <f t="shared" si="5"/>
        <v>46599</v>
      </c>
      <c r="F48" s="185">
        <f t="shared" si="6"/>
        <v>19307.683197213642</v>
      </c>
      <c r="G48" s="186">
        <f t="shared" si="0"/>
        <v>673.09456389948684</v>
      </c>
      <c r="H48" s="187">
        <f t="shared" si="1"/>
        <v>56.314075991873125</v>
      </c>
      <c r="I48" s="186">
        <f t="shared" si="2"/>
        <v>616.78048790761375</v>
      </c>
      <c r="J48" s="185">
        <f t="shared" si="3"/>
        <v>18690.902709306029</v>
      </c>
    </row>
    <row r="49" spans="4:10">
      <c r="D49" s="145">
        <f t="shared" si="4"/>
        <v>32</v>
      </c>
      <c r="E49" s="184">
        <f t="shared" si="5"/>
        <v>46630</v>
      </c>
      <c r="F49" s="185">
        <f t="shared" si="6"/>
        <v>18690.902709306029</v>
      </c>
      <c r="G49" s="186">
        <f t="shared" si="0"/>
        <v>673.09456389948684</v>
      </c>
      <c r="H49" s="187">
        <f t="shared" si="1"/>
        <v>54.515132902142589</v>
      </c>
      <c r="I49" s="186">
        <f t="shared" si="2"/>
        <v>618.57943099734428</v>
      </c>
      <c r="J49" s="185">
        <f t="shared" si="3"/>
        <v>18072.323278308686</v>
      </c>
    </row>
    <row r="50" spans="4:10">
      <c r="D50" s="145">
        <f t="shared" si="4"/>
        <v>33</v>
      </c>
      <c r="E50" s="184">
        <f t="shared" si="5"/>
        <v>46660</v>
      </c>
      <c r="F50" s="185">
        <f t="shared" si="6"/>
        <v>18072.323278308686</v>
      </c>
      <c r="G50" s="186">
        <f t="shared" si="0"/>
        <v>673.09456389948684</v>
      </c>
      <c r="H50" s="187">
        <f t="shared" si="1"/>
        <v>52.710942895067006</v>
      </c>
      <c r="I50" s="186">
        <f t="shared" si="2"/>
        <v>620.38362100441987</v>
      </c>
      <c r="J50" s="185">
        <f t="shared" si="3"/>
        <v>17451.939657304265</v>
      </c>
    </row>
    <row r="51" spans="4:10">
      <c r="D51" s="145">
        <f t="shared" si="4"/>
        <v>34</v>
      </c>
      <c r="E51" s="184">
        <f t="shared" si="5"/>
        <v>46691</v>
      </c>
      <c r="F51" s="185">
        <f t="shared" si="6"/>
        <v>17451.939657304265</v>
      </c>
      <c r="G51" s="186">
        <f t="shared" si="0"/>
        <v>673.09456389948684</v>
      </c>
      <c r="H51" s="187">
        <f t="shared" si="1"/>
        <v>50.901490667137445</v>
      </c>
      <c r="I51" s="186">
        <f t="shared" si="2"/>
        <v>622.19307323234943</v>
      </c>
      <c r="J51" s="185">
        <f t="shared" si="3"/>
        <v>16829.746584071916</v>
      </c>
    </row>
    <row r="52" spans="4:10">
      <c r="D52" s="145">
        <f t="shared" si="4"/>
        <v>35</v>
      </c>
      <c r="E52" s="184">
        <f t="shared" si="5"/>
        <v>46721</v>
      </c>
      <c r="F52" s="185">
        <f t="shared" si="6"/>
        <v>16829.746584071916</v>
      </c>
      <c r="G52" s="186">
        <f t="shared" si="0"/>
        <v>673.09456389948684</v>
      </c>
      <c r="H52" s="187">
        <f t="shared" si="1"/>
        <v>49.086760870209758</v>
      </c>
      <c r="I52" s="186">
        <f t="shared" si="2"/>
        <v>624.00780302927706</v>
      </c>
      <c r="J52" s="185">
        <f t="shared" si="3"/>
        <v>16205.738781042639</v>
      </c>
    </row>
    <row r="53" spans="4:10">
      <c r="D53" s="145">
        <f t="shared" si="4"/>
        <v>36</v>
      </c>
      <c r="E53" s="184">
        <f t="shared" si="5"/>
        <v>46752</v>
      </c>
      <c r="F53" s="185">
        <f t="shared" si="6"/>
        <v>16205.738781042639</v>
      </c>
      <c r="G53" s="186">
        <f t="shared" si="0"/>
        <v>673.09456389948684</v>
      </c>
      <c r="H53" s="187">
        <f t="shared" si="1"/>
        <v>47.266738111374366</v>
      </c>
      <c r="I53" s="186">
        <f t="shared" si="2"/>
        <v>625.82782578811248</v>
      </c>
      <c r="J53" s="185">
        <f t="shared" si="3"/>
        <v>15579.910955254527</v>
      </c>
    </row>
    <row r="54" spans="4:10">
      <c r="D54" s="145">
        <f t="shared" si="4"/>
        <v>37</v>
      </c>
      <c r="E54" s="184">
        <f t="shared" si="5"/>
        <v>46783</v>
      </c>
      <c r="F54" s="185">
        <f t="shared" si="6"/>
        <v>15579.910955254527</v>
      </c>
      <c r="G54" s="186">
        <f t="shared" si="0"/>
        <v>673.09456389948684</v>
      </c>
      <c r="H54" s="187">
        <f t="shared" si="1"/>
        <v>45.441406952825709</v>
      </c>
      <c r="I54" s="186">
        <f t="shared" si="2"/>
        <v>627.65315694666117</v>
      </c>
      <c r="J54" s="185">
        <f t="shared" si="3"/>
        <v>14952.257798307866</v>
      </c>
    </row>
    <row r="55" spans="4:10">
      <c r="D55" s="145">
        <f t="shared" si="4"/>
        <v>38</v>
      </c>
      <c r="E55" s="184">
        <f t="shared" si="5"/>
        <v>46812</v>
      </c>
      <c r="F55" s="185">
        <f t="shared" si="6"/>
        <v>14952.257798307866</v>
      </c>
      <c r="G55" s="186">
        <f t="shared" si="0"/>
        <v>673.09456389948684</v>
      </c>
      <c r="H55" s="187">
        <f t="shared" si="1"/>
        <v>43.610751911731285</v>
      </c>
      <c r="I55" s="186">
        <f t="shared" si="2"/>
        <v>629.48381198775553</v>
      </c>
      <c r="J55" s="185">
        <f t="shared" si="3"/>
        <v>14322.773986320111</v>
      </c>
    </row>
    <row r="56" spans="4:10">
      <c r="D56" s="145">
        <f t="shared" si="4"/>
        <v>39</v>
      </c>
      <c r="E56" s="184">
        <f t="shared" si="5"/>
        <v>46843</v>
      </c>
      <c r="F56" s="185">
        <f t="shared" si="6"/>
        <v>14322.773986320111</v>
      </c>
      <c r="G56" s="186">
        <f t="shared" si="0"/>
        <v>673.09456389948684</v>
      </c>
      <c r="H56" s="187">
        <f t="shared" si="1"/>
        <v>41.774757460100325</v>
      </c>
      <c r="I56" s="186">
        <f t="shared" si="2"/>
        <v>631.31980643938653</v>
      </c>
      <c r="J56" s="185">
        <f t="shared" si="3"/>
        <v>13691.454179880724</v>
      </c>
    </row>
    <row r="57" spans="4:10">
      <c r="D57" s="145">
        <f t="shared" si="4"/>
        <v>40</v>
      </c>
      <c r="E57" s="184">
        <f t="shared" si="5"/>
        <v>46873</v>
      </c>
      <c r="F57" s="185">
        <f t="shared" si="6"/>
        <v>13691.454179880724</v>
      </c>
      <c r="G57" s="186">
        <f t="shared" si="0"/>
        <v>673.09456389948684</v>
      </c>
      <c r="H57" s="187">
        <f t="shared" si="1"/>
        <v>39.933408024652117</v>
      </c>
      <c r="I57" s="186">
        <f t="shared" si="2"/>
        <v>633.16115587483478</v>
      </c>
      <c r="J57" s="185">
        <f t="shared" si="3"/>
        <v>13058.293024005889</v>
      </c>
    </row>
    <row r="58" spans="4:10">
      <c r="D58" s="145">
        <f t="shared" si="4"/>
        <v>41</v>
      </c>
      <c r="E58" s="184">
        <f t="shared" si="5"/>
        <v>46904</v>
      </c>
      <c r="F58" s="185">
        <f t="shared" si="6"/>
        <v>13058.293024005889</v>
      </c>
      <c r="G58" s="186">
        <f t="shared" si="0"/>
        <v>673.09456389948684</v>
      </c>
      <c r="H58" s="187">
        <f t="shared" si="1"/>
        <v>38.086687986683849</v>
      </c>
      <c r="I58" s="186">
        <f t="shared" si="2"/>
        <v>635.007875912803</v>
      </c>
      <c r="J58" s="185">
        <f t="shared" si="3"/>
        <v>12423.285148093086</v>
      </c>
    </row>
    <row r="59" spans="4:10">
      <c r="D59" s="145">
        <f t="shared" si="4"/>
        <v>42</v>
      </c>
      <c r="E59" s="184">
        <f t="shared" si="5"/>
        <v>46934</v>
      </c>
      <c r="F59" s="185">
        <f t="shared" si="6"/>
        <v>12423.285148093086</v>
      </c>
      <c r="G59" s="186">
        <f t="shared" si="0"/>
        <v>673.09456389948684</v>
      </c>
      <c r="H59" s="187">
        <f t="shared" si="1"/>
        <v>36.234581681938174</v>
      </c>
      <c r="I59" s="186">
        <f t="shared" si="2"/>
        <v>636.85998221754869</v>
      </c>
      <c r="J59" s="185">
        <f t="shared" si="3"/>
        <v>11786.425165875537</v>
      </c>
    </row>
    <row r="60" spans="4:10">
      <c r="D60" s="145">
        <f t="shared" si="4"/>
        <v>43</v>
      </c>
      <c r="E60" s="184">
        <f t="shared" si="5"/>
        <v>46965</v>
      </c>
      <c r="F60" s="185">
        <f t="shared" si="6"/>
        <v>11786.425165875537</v>
      </c>
      <c r="G60" s="186">
        <f t="shared" si="0"/>
        <v>673.09456389948684</v>
      </c>
      <c r="H60" s="187">
        <f t="shared" si="1"/>
        <v>34.377073400470316</v>
      </c>
      <c r="I60" s="186">
        <f t="shared" si="2"/>
        <v>638.71749049901655</v>
      </c>
      <c r="J60" s="185">
        <f t="shared" si="3"/>
        <v>11147.70767537652</v>
      </c>
    </row>
    <row r="61" spans="4:10">
      <c r="D61" s="145">
        <f t="shared" si="4"/>
        <v>44</v>
      </c>
      <c r="E61" s="184">
        <f t="shared" si="5"/>
        <v>46996</v>
      </c>
      <c r="F61" s="185">
        <f t="shared" si="6"/>
        <v>11147.70767537652</v>
      </c>
      <c r="G61" s="186">
        <f t="shared" si="0"/>
        <v>673.09456389948684</v>
      </c>
      <c r="H61" s="187">
        <f t="shared" si="1"/>
        <v>32.51414738651485</v>
      </c>
      <c r="I61" s="186">
        <f t="shared" si="2"/>
        <v>640.58041651297196</v>
      </c>
      <c r="J61" s="185">
        <f t="shared" si="3"/>
        <v>10507.127258863547</v>
      </c>
    </row>
    <row r="62" spans="4:10">
      <c r="D62" s="145">
        <f t="shared" si="4"/>
        <v>45</v>
      </c>
      <c r="E62" s="184">
        <f t="shared" si="5"/>
        <v>47026</v>
      </c>
      <c r="F62" s="185">
        <f t="shared" si="6"/>
        <v>10507.127258863547</v>
      </c>
      <c r="G62" s="186">
        <f t="shared" si="0"/>
        <v>673.09456389948684</v>
      </c>
      <c r="H62" s="187">
        <f t="shared" si="1"/>
        <v>30.645787838352017</v>
      </c>
      <c r="I62" s="186">
        <f t="shared" si="2"/>
        <v>642.44877606113482</v>
      </c>
      <c r="J62" s="185">
        <f t="shared" si="3"/>
        <v>9864.678482802412</v>
      </c>
    </row>
    <row r="63" spans="4:10">
      <c r="D63" s="145">
        <f t="shared" si="4"/>
        <v>46</v>
      </c>
      <c r="E63" s="184">
        <f t="shared" si="5"/>
        <v>47057</v>
      </c>
      <c r="F63" s="185">
        <f t="shared" si="6"/>
        <v>9864.678482802412</v>
      </c>
      <c r="G63" s="186">
        <f t="shared" si="0"/>
        <v>673.09456389948684</v>
      </c>
      <c r="H63" s="187">
        <f t="shared" si="1"/>
        <v>28.771978908173704</v>
      </c>
      <c r="I63" s="186">
        <f t="shared" si="2"/>
        <v>644.32258499131319</v>
      </c>
      <c r="J63" s="185">
        <f t="shared" si="3"/>
        <v>9220.3558978110996</v>
      </c>
    </row>
    <row r="64" spans="4:10">
      <c r="D64" s="145">
        <f t="shared" si="4"/>
        <v>47</v>
      </c>
      <c r="E64" s="184">
        <f t="shared" si="5"/>
        <v>47087</v>
      </c>
      <c r="F64" s="185">
        <f t="shared" si="6"/>
        <v>9220.3558978110996</v>
      </c>
      <c r="G64" s="186">
        <f t="shared" si="0"/>
        <v>673.09456389948684</v>
      </c>
      <c r="H64" s="187">
        <f t="shared" si="1"/>
        <v>26.892704701949043</v>
      </c>
      <c r="I64" s="186">
        <f t="shared" si="2"/>
        <v>646.20185919753783</v>
      </c>
      <c r="J64" s="185">
        <f t="shared" si="3"/>
        <v>8574.1540386135621</v>
      </c>
    </row>
    <row r="65" spans="4:10">
      <c r="D65" s="145">
        <f t="shared" si="4"/>
        <v>48</v>
      </c>
      <c r="E65" s="184">
        <f t="shared" si="5"/>
        <v>47118</v>
      </c>
      <c r="F65" s="185">
        <f t="shared" si="6"/>
        <v>8574.1540386135621</v>
      </c>
      <c r="G65" s="186">
        <f t="shared" si="0"/>
        <v>673.09456389948684</v>
      </c>
      <c r="H65" s="187">
        <f t="shared" si="1"/>
        <v>25.007949279289559</v>
      </c>
      <c r="I65" s="186">
        <f t="shared" si="2"/>
        <v>648.08661462019734</v>
      </c>
      <c r="J65" s="185">
        <f t="shared" si="3"/>
        <v>7926.0674239933651</v>
      </c>
    </row>
    <row r="66" spans="4:10">
      <c r="D66" s="145">
        <f t="shared" si="4"/>
        <v>49</v>
      </c>
      <c r="E66" s="184">
        <f t="shared" si="5"/>
        <v>47149</v>
      </c>
      <c r="F66" s="185">
        <f t="shared" si="6"/>
        <v>7926.0674239933651</v>
      </c>
      <c r="G66" s="186">
        <f t="shared" si="0"/>
        <v>673.09456389948684</v>
      </c>
      <c r="H66" s="187">
        <f t="shared" si="1"/>
        <v>23.117696653313985</v>
      </c>
      <c r="I66" s="186">
        <f t="shared" si="2"/>
        <v>649.9768672461729</v>
      </c>
      <c r="J66" s="185">
        <f t="shared" si="3"/>
        <v>7276.0905567471918</v>
      </c>
    </row>
    <row r="67" spans="4:10">
      <c r="D67" s="145">
        <f t="shared" si="4"/>
        <v>50</v>
      </c>
      <c r="E67" s="184">
        <f t="shared" si="5"/>
        <v>47177</v>
      </c>
      <c r="F67" s="185">
        <f t="shared" si="6"/>
        <v>7276.0905567471918</v>
      </c>
      <c r="G67" s="186">
        <f t="shared" si="0"/>
        <v>673.09456389948684</v>
      </c>
      <c r="H67" s="187">
        <f t="shared" si="1"/>
        <v>21.221930790512644</v>
      </c>
      <c r="I67" s="186">
        <f t="shared" si="2"/>
        <v>651.87263310897424</v>
      </c>
      <c r="J67" s="185">
        <f t="shared" si="3"/>
        <v>6624.2179236382181</v>
      </c>
    </row>
    <row r="68" spans="4:10">
      <c r="D68" s="145">
        <f t="shared" si="4"/>
        <v>51</v>
      </c>
      <c r="E68" s="184">
        <f t="shared" si="5"/>
        <v>47208</v>
      </c>
      <c r="F68" s="185">
        <f t="shared" si="6"/>
        <v>6624.2179236382181</v>
      </c>
      <c r="G68" s="186">
        <f t="shared" si="0"/>
        <v>673.09456389948684</v>
      </c>
      <c r="H68" s="187">
        <f t="shared" si="1"/>
        <v>19.320635610611472</v>
      </c>
      <c r="I68" s="186">
        <f t="shared" si="2"/>
        <v>653.77392828887537</v>
      </c>
      <c r="J68" s="185">
        <f t="shared" si="3"/>
        <v>5970.4439953493429</v>
      </c>
    </row>
    <row r="69" spans="4:10">
      <c r="D69" s="145">
        <f t="shared" si="4"/>
        <v>52</v>
      </c>
      <c r="E69" s="184">
        <f t="shared" si="5"/>
        <v>47238</v>
      </c>
      <c r="F69" s="185">
        <f t="shared" si="6"/>
        <v>5970.4439953493429</v>
      </c>
      <c r="G69" s="186">
        <f t="shared" si="0"/>
        <v>673.09456389948684</v>
      </c>
      <c r="H69" s="187">
        <f t="shared" si="1"/>
        <v>17.413794986435587</v>
      </c>
      <c r="I69" s="186">
        <f t="shared" si="2"/>
        <v>655.68076891305122</v>
      </c>
      <c r="J69" s="185">
        <f t="shared" si="3"/>
        <v>5314.7632264362919</v>
      </c>
    </row>
    <row r="70" spans="4:10">
      <c r="D70" s="145">
        <f t="shared" si="4"/>
        <v>53</v>
      </c>
      <c r="E70" s="184">
        <f t="shared" si="5"/>
        <v>47269</v>
      </c>
      <c r="F70" s="185">
        <f t="shared" si="6"/>
        <v>5314.7632264362919</v>
      </c>
      <c r="G70" s="186">
        <f t="shared" si="0"/>
        <v>673.09456389948684</v>
      </c>
      <c r="H70" s="187">
        <f t="shared" si="1"/>
        <v>15.50139274377252</v>
      </c>
      <c r="I70" s="186">
        <f t="shared" si="2"/>
        <v>657.59317115571434</v>
      </c>
      <c r="J70" s="185">
        <f t="shared" si="3"/>
        <v>4657.1700552805778</v>
      </c>
    </row>
    <row r="71" spans="4:10">
      <c r="D71" s="145">
        <f t="shared" si="4"/>
        <v>54</v>
      </c>
      <c r="E71" s="184">
        <f t="shared" si="5"/>
        <v>47299</v>
      </c>
      <c r="F71" s="185">
        <f t="shared" si="6"/>
        <v>4657.1700552805778</v>
      </c>
      <c r="G71" s="186">
        <f t="shared" si="0"/>
        <v>673.09456389948684</v>
      </c>
      <c r="H71" s="187">
        <f t="shared" si="1"/>
        <v>13.583412661235021</v>
      </c>
      <c r="I71" s="186">
        <f t="shared" si="2"/>
        <v>659.51115123825184</v>
      </c>
      <c r="J71" s="185">
        <f t="shared" si="3"/>
        <v>3997.658904042326</v>
      </c>
    </row>
    <row r="72" spans="4:10">
      <c r="D72" s="145">
        <f t="shared" si="4"/>
        <v>55</v>
      </c>
      <c r="E72" s="184">
        <f t="shared" si="5"/>
        <v>47330</v>
      </c>
      <c r="F72" s="185">
        <f t="shared" si="6"/>
        <v>3997.658904042326</v>
      </c>
      <c r="G72" s="186">
        <f t="shared" si="0"/>
        <v>673.09456389948684</v>
      </c>
      <c r="H72" s="187">
        <f t="shared" si="1"/>
        <v>11.659838470123452</v>
      </c>
      <c r="I72" s="186">
        <f t="shared" si="2"/>
        <v>661.43472542936343</v>
      </c>
      <c r="J72" s="185">
        <f t="shared" si="3"/>
        <v>3336.2241786129625</v>
      </c>
    </row>
    <row r="73" spans="4:10">
      <c r="D73" s="145">
        <f t="shared" si="4"/>
        <v>56</v>
      </c>
      <c r="E73" s="184">
        <f t="shared" si="5"/>
        <v>47361</v>
      </c>
      <c r="F73" s="185">
        <f t="shared" si="6"/>
        <v>3336.2241786129625</v>
      </c>
      <c r="G73" s="186">
        <f t="shared" si="0"/>
        <v>673.09456389948684</v>
      </c>
      <c r="H73" s="187">
        <f t="shared" si="1"/>
        <v>9.7306538542878087</v>
      </c>
      <c r="I73" s="186">
        <f t="shared" si="2"/>
        <v>663.36391004519908</v>
      </c>
      <c r="J73" s="185">
        <f t="shared" si="3"/>
        <v>2672.8602685677633</v>
      </c>
    </row>
    <row r="74" spans="4:10">
      <c r="D74" s="145">
        <f t="shared" si="4"/>
        <v>57</v>
      </c>
      <c r="E74" s="184">
        <f t="shared" si="5"/>
        <v>47391</v>
      </c>
      <c r="F74" s="185">
        <f t="shared" si="6"/>
        <v>2672.8602685677633</v>
      </c>
      <c r="G74" s="186">
        <f t="shared" si="0"/>
        <v>673.09456389948684</v>
      </c>
      <c r="H74" s="187">
        <f t="shared" si="1"/>
        <v>7.7958424499893111</v>
      </c>
      <c r="I74" s="186">
        <f t="shared" si="2"/>
        <v>665.29872144949752</v>
      </c>
      <c r="J74" s="185">
        <f t="shared" si="3"/>
        <v>2007.5615471182659</v>
      </c>
    </row>
    <row r="75" spans="4:10">
      <c r="D75" s="145">
        <f t="shared" si="4"/>
        <v>58</v>
      </c>
      <c r="E75" s="184">
        <f t="shared" si="5"/>
        <v>47422</v>
      </c>
      <c r="F75" s="185">
        <f t="shared" si="6"/>
        <v>2007.5615471182659</v>
      </c>
      <c r="G75" s="186">
        <f t="shared" si="0"/>
        <v>673.09456389948684</v>
      </c>
      <c r="H75" s="187">
        <f t="shared" si="1"/>
        <v>5.8553878457616095</v>
      </c>
      <c r="I75" s="186">
        <f t="shared" si="2"/>
        <v>667.23917605372526</v>
      </c>
      <c r="J75" s="185">
        <f t="shared" si="3"/>
        <v>1340.3223710645407</v>
      </c>
    </row>
    <row r="76" spans="4:10">
      <c r="D76" s="145">
        <f t="shared" si="4"/>
        <v>59</v>
      </c>
      <c r="E76" s="184">
        <f t="shared" si="5"/>
        <v>47452</v>
      </c>
      <c r="F76" s="185">
        <f t="shared" si="6"/>
        <v>1340.3223710645407</v>
      </c>
      <c r="G76" s="186">
        <f t="shared" si="0"/>
        <v>673.09456389948684</v>
      </c>
      <c r="H76" s="187">
        <f t="shared" si="1"/>
        <v>3.9092735822715774</v>
      </c>
      <c r="I76" s="186">
        <f t="shared" si="2"/>
        <v>669.18529031721528</v>
      </c>
      <c r="J76" s="185">
        <f t="shared" si="3"/>
        <v>671.1370807473254</v>
      </c>
    </row>
    <row r="77" spans="4:10">
      <c r="D77" s="145">
        <f t="shared" si="4"/>
        <v>60</v>
      </c>
      <c r="E77" s="184">
        <f t="shared" si="5"/>
        <v>47483</v>
      </c>
      <c r="F77" s="185">
        <f t="shared" si="6"/>
        <v>671.1370807473254</v>
      </c>
      <c r="G77" s="186">
        <f t="shared" si="0"/>
        <v>673.09456389948684</v>
      </c>
      <c r="H77" s="187">
        <f t="shared" si="1"/>
        <v>1.9574831521796991</v>
      </c>
      <c r="I77" s="186">
        <f t="shared" si="2"/>
        <v>671.1370807473071</v>
      </c>
      <c r="J77" s="185">
        <f t="shared" si="3"/>
        <v>1.8303580873180181E-11</v>
      </c>
    </row>
    <row r="78" spans="4:10">
      <c r="D78" s="145" t="str">
        <f t="shared" si="4"/>
        <v/>
      </c>
      <c r="E78" s="184" t="str">
        <f t="shared" si="5"/>
        <v/>
      </c>
      <c r="F78" s="185" t="str">
        <f t="shared" si="6"/>
        <v/>
      </c>
      <c r="G78" s="186" t="str">
        <f t="shared" si="0"/>
        <v/>
      </c>
      <c r="H78" s="187" t="str">
        <f t="shared" si="1"/>
        <v/>
      </c>
      <c r="I78" s="186" t="str">
        <f t="shared" si="2"/>
        <v/>
      </c>
      <c r="J78" s="185" t="str">
        <f t="shared" si="3"/>
        <v/>
      </c>
    </row>
    <row r="79" spans="4:10">
      <c r="D79" s="145" t="str">
        <f t="shared" si="4"/>
        <v/>
      </c>
      <c r="E79" s="184" t="str">
        <f t="shared" si="5"/>
        <v/>
      </c>
      <c r="F79" s="185" t="str">
        <f t="shared" si="6"/>
        <v/>
      </c>
      <c r="G79" s="186" t="str">
        <f t="shared" si="0"/>
        <v/>
      </c>
      <c r="H79" s="187" t="str">
        <f t="shared" si="1"/>
        <v/>
      </c>
      <c r="I79" s="186" t="str">
        <f t="shared" si="2"/>
        <v/>
      </c>
      <c r="J79" s="185" t="str">
        <f t="shared" si="3"/>
        <v/>
      </c>
    </row>
    <row r="80" spans="4:10">
      <c r="D80" s="145" t="str">
        <f t="shared" si="4"/>
        <v/>
      </c>
      <c r="E80" s="184" t="str">
        <f t="shared" si="5"/>
        <v/>
      </c>
      <c r="F80" s="185" t="str">
        <f t="shared" si="6"/>
        <v/>
      </c>
      <c r="G80" s="186" t="str">
        <f t="shared" si="0"/>
        <v/>
      </c>
      <c r="H80" s="187" t="str">
        <f t="shared" si="1"/>
        <v/>
      </c>
      <c r="I80" s="186" t="str">
        <f t="shared" si="2"/>
        <v/>
      </c>
      <c r="J80" s="185" t="str">
        <f t="shared" si="3"/>
        <v/>
      </c>
    </row>
    <row r="81" spans="4:10">
      <c r="D81" s="145" t="str">
        <f t="shared" si="4"/>
        <v/>
      </c>
      <c r="E81" s="184" t="str">
        <f t="shared" si="5"/>
        <v/>
      </c>
      <c r="F81" s="185" t="str">
        <f t="shared" si="6"/>
        <v/>
      </c>
      <c r="G81" s="186" t="str">
        <f t="shared" si="0"/>
        <v/>
      </c>
      <c r="H81" s="187" t="str">
        <f t="shared" si="1"/>
        <v/>
      </c>
      <c r="I81" s="186" t="str">
        <f t="shared" si="2"/>
        <v/>
      </c>
      <c r="J81" s="185" t="str">
        <f t="shared" si="3"/>
        <v/>
      </c>
    </row>
    <row r="82" spans="4:10">
      <c r="D82" s="145" t="str">
        <f t="shared" si="4"/>
        <v/>
      </c>
      <c r="E82" s="184" t="str">
        <f t="shared" si="5"/>
        <v/>
      </c>
      <c r="F82" s="185" t="str">
        <f t="shared" si="6"/>
        <v/>
      </c>
      <c r="G82" s="186" t="str">
        <f t="shared" si="0"/>
        <v/>
      </c>
      <c r="H82" s="187" t="str">
        <f t="shared" si="1"/>
        <v/>
      </c>
      <c r="I82" s="186" t="str">
        <f t="shared" si="2"/>
        <v/>
      </c>
      <c r="J82" s="185" t="str">
        <f t="shared" si="3"/>
        <v/>
      </c>
    </row>
    <row r="83" spans="4:10">
      <c r="D83" s="145" t="str">
        <f t="shared" si="4"/>
        <v/>
      </c>
      <c r="E83" s="184" t="str">
        <f t="shared" si="5"/>
        <v/>
      </c>
      <c r="F83" s="185" t="str">
        <f t="shared" si="6"/>
        <v/>
      </c>
      <c r="G83" s="186" t="str">
        <f t="shared" ref="G83:G146" si="7">IF(D83="","",$C$13)</f>
        <v/>
      </c>
      <c r="H83" s="187" t="str">
        <f t="shared" ref="H83:H146" si="8">IF(D83="","",F83*$C$7/12)</f>
        <v/>
      </c>
      <c r="I83" s="186" t="str">
        <f t="shared" ref="I83:I146" si="9">IF(D83="","",G83-H83)</f>
        <v/>
      </c>
      <c r="J83" s="185" t="str">
        <f t="shared" ref="J83:J146" si="10">IF(D83="","",F83-I83)</f>
        <v/>
      </c>
    </row>
    <row r="84" spans="4:10">
      <c r="D84" s="145" t="str">
        <f t="shared" ref="D84:D147" si="11">IFERROR(IF(D83+1&lt;=$C$12,D83+1,""),"")</f>
        <v/>
      </c>
      <c r="E84" s="184" t="str">
        <f t="shared" ref="E84:E147" si="12">IF(D84="","",EOMONTH(E83,1))</f>
        <v/>
      </c>
      <c r="F84" s="185" t="str">
        <f t="shared" ref="F84:F147" si="13">IF(D84="","",J83)</f>
        <v/>
      </c>
      <c r="G84" s="186" t="str">
        <f t="shared" si="7"/>
        <v/>
      </c>
      <c r="H84" s="187" t="str">
        <f t="shared" si="8"/>
        <v/>
      </c>
      <c r="I84" s="186" t="str">
        <f t="shared" si="9"/>
        <v/>
      </c>
      <c r="J84" s="185" t="str">
        <f t="shared" si="10"/>
        <v/>
      </c>
    </row>
    <row r="85" spans="4:10">
      <c r="D85" s="145" t="str">
        <f t="shared" si="11"/>
        <v/>
      </c>
      <c r="E85" s="184" t="str">
        <f t="shared" si="12"/>
        <v/>
      </c>
      <c r="F85" s="185" t="str">
        <f t="shared" si="13"/>
        <v/>
      </c>
      <c r="G85" s="186" t="str">
        <f t="shared" si="7"/>
        <v/>
      </c>
      <c r="H85" s="187" t="str">
        <f t="shared" si="8"/>
        <v/>
      </c>
      <c r="I85" s="186" t="str">
        <f t="shared" si="9"/>
        <v/>
      </c>
      <c r="J85" s="185" t="str">
        <f t="shared" si="10"/>
        <v/>
      </c>
    </row>
    <row r="86" spans="4:10">
      <c r="D86" s="145" t="str">
        <f t="shared" si="11"/>
        <v/>
      </c>
      <c r="E86" s="184" t="str">
        <f t="shared" si="12"/>
        <v/>
      </c>
      <c r="F86" s="185" t="str">
        <f t="shared" si="13"/>
        <v/>
      </c>
      <c r="G86" s="186" t="str">
        <f t="shared" si="7"/>
        <v/>
      </c>
      <c r="H86" s="187" t="str">
        <f t="shared" si="8"/>
        <v/>
      </c>
      <c r="I86" s="186" t="str">
        <f t="shared" si="9"/>
        <v/>
      </c>
      <c r="J86" s="185" t="str">
        <f t="shared" si="10"/>
        <v/>
      </c>
    </row>
    <row r="87" spans="4:10">
      <c r="D87" s="145" t="str">
        <f t="shared" si="11"/>
        <v/>
      </c>
      <c r="E87" s="184" t="str">
        <f t="shared" si="12"/>
        <v/>
      </c>
      <c r="F87" s="185" t="str">
        <f t="shared" si="13"/>
        <v/>
      </c>
      <c r="G87" s="186" t="str">
        <f t="shared" si="7"/>
        <v/>
      </c>
      <c r="H87" s="187" t="str">
        <f t="shared" si="8"/>
        <v/>
      </c>
      <c r="I87" s="186" t="str">
        <f t="shared" si="9"/>
        <v/>
      </c>
      <c r="J87" s="185" t="str">
        <f t="shared" si="10"/>
        <v/>
      </c>
    </row>
    <row r="88" spans="4:10">
      <c r="D88" s="145" t="str">
        <f t="shared" si="11"/>
        <v/>
      </c>
      <c r="E88" s="184" t="str">
        <f t="shared" si="12"/>
        <v/>
      </c>
      <c r="F88" s="185" t="str">
        <f t="shared" si="13"/>
        <v/>
      </c>
      <c r="G88" s="186" t="str">
        <f t="shared" si="7"/>
        <v/>
      </c>
      <c r="H88" s="187" t="str">
        <f t="shared" si="8"/>
        <v/>
      </c>
      <c r="I88" s="186" t="str">
        <f t="shared" si="9"/>
        <v/>
      </c>
      <c r="J88" s="185" t="str">
        <f t="shared" si="10"/>
        <v/>
      </c>
    </row>
    <row r="89" spans="4:10">
      <c r="D89" s="145" t="str">
        <f t="shared" si="11"/>
        <v/>
      </c>
      <c r="E89" s="184" t="str">
        <f t="shared" si="12"/>
        <v/>
      </c>
      <c r="F89" s="185" t="str">
        <f t="shared" si="13"/>
        <v/>
      </c>
      <c r="G89" s="186" t="str">
        <f t="shared" si="7"/>
        <v/>
      </c>
      <c r="H89" s="187" t="str">
        <f t="shared" si="8"/>
        <v/>
      </c>
      <c r="I89" s="186" t="str">
        <f t="shared" si="9"/>
        <v/>
      </c>
      <c r="J89" s="185" t="str">
        <f t="shared" si="10"/>
        <v/>
      </c>
    </row>
    <row r="90" spans="4:10">
      <c r="D90" s="145" t="str">
        <f t="shared" si="11"/>
        <v/>
      </c>
      <c r="E90" s="184" t="str">
        <f t="shared" si="12"/>
        <v/>
      </c>
      <c r="F90" s="185" t="str">
        <f t="shared" si="13"/>
        <v/>
      </c>
      <c r="G90" s="186" t="str">
        <f t="shared" si="7"/>
        <v/>
      </c>
      <c r="H90" s="187" t="str">
        <f t="shared" si="8"/>
        <v/>
      </c>
      <c r="I90" s="186" t="str">
        <f t="shared" si="9"/>
        <v/>
      </c>
      <c r="J90" s="185" t="str">
        <f t="shared" si="10"/>
        <v/>
      </c>
    </row>
    <row r="91" spans="4:10">
      <c r="D91" s="145" t="str">
        <f t="shared" si="11"/>
        <v/>
      </c>
      <c r="E91" s="184" t="str">
        <f t="shared" si="12"/>
        <v/>
      </c>
      <c r="F91" s="185" t="str">
        <f t="shared" si="13"/>
        <v/>
      </c>
      <c r="G91" s="186" t="str">
        <f t="shared" si="7"/>
        <v/>
      </c>
      <c r="H91" s="187" t="str">
        <f t="shared" si="8"/>
        <v/>
      </c>
      <c r="I91" s="186" t="str">
        <f t="shared" si="9"/>
        <v/>
      </c>
      <c r="J91" s="185" t="str">
        <f t="shared" si="10"/>
        <v/>
      </c>
    </row>
    <row r="92" spans="4:10">
      <c r="D92" s="145" t="str">
        <f t="shared" si="11"/>
        <v/>
      </c>
      <c r="E92" s="184" t="str">
        <f t="shared" si="12"/>
        <v/>
      </c>
      <c r="F92" s="185" t="str">
        <f t="shared" si="13"/>
        <v/>
      </c>
      <c r="G92" s="186" t="str">
        <f t="shared" si="7"/>
        <v/>
      </c>
      <c r="H92" s="187" t="str">
        <f t="shared" si="8"/>
        <v/>
      </c>
      <c r="I92" s="186" t="str">
        <f t="shared" si="9"/>
        <v/>
      </c>
      <c r="J92" s="185" t="str">
        <f t="shared" si="10"/>
        <v/>
      </c>
    </row>
    <row r="93" spans="4:10">
      <c r="D93" s="145" t="str">
        <f t="shared" si="11"/>
        <v/>
      </c>
      <c r="E93" s="184" t="str">
        <f t="shared" si="12"/>
        <v/>
      </c>
      <c r="F93" s="185" t="str">
        <f t="shared" si="13"/>
        <v/>
      </c>
      <c r="G93" s="186" t="str">
        <f t="shared" si="7"/>
        <v/>
      </c>
      <c r="H93" s="187" t="str">
        <f t="shared" si="8"/>
        <v/>
      </c>
      <c r="I93" s="186" t="str">
        <f t="shared" si="9"/>
        <v/>
      </c>
      <c r="J93" s="185" t="str">
        <f t="shared" si="10"/>
        <v/>
      </c>
    </row>
    <row r="94" spans="4:10">
      <c r="D94" s="145" t="str">
        <f t="shared" si="11"/>
        <v/>
      </c>
      <c r="E94" s="184" t="str">
        <f t="shared" si="12"/>
        <v/>
      </c>
      <c r="F94" s="185" t="str">
        <f t="shared" si="13"/>
        <v/>
      </c>
      <c r="G94" s="186" t="str">
        <f t="shared" si="7"/>
        <v/>
      </c>
      <c r="H94" s="187" t="str">
        <f t="shared" si="8"/>
        <v/>
      </c>
      <c r="I94" s="186" t="str">
        <f t="shared" si="9"/>
        <v/>
      </c>
      <c r="J94" s="185" t="str">
        <f t="shared" si="10"/>
        <v/>
      </c>
    </row>
    <row r="95" spans="4:10">
      <c r="D95" s="145" t="str">
        <f t="shared" si="11"/>
        <v/>
      </c>
      <c r="E95" s="184" t="str">
        <f t="shared" si="12"/>
        <v/>
      </c>
      <c r="F95" s="185" t="str">
        <f t="shared" si="13"/>
        <v/>
      </c>
      <c r="G95" s="186" t="str">
        <f t="shared" si="7"/>
        <v/>
      </c>
      <c r="H95" s="187" t="str">
        <f t="shared" si="8"/>
        <v/>
      </c>
      <c r="I95" s="186" t="str">
        <f t="shared" si="9"/>
        <v/>
      </c>
      <c r="J95" s="185" t="str">
        <f t="shared" si="10"/>
        <v/>
      </c>
    </row>
    <row r="96" spans="4:10">
      <c r="D96" s="145" t="str">
        <f t="shared" si="11"/>
        <v/>
      </c>
      <c r="E96" s="184" t="str">
        <f t="shared" si="12"/>
        <v/>
      </c>
      <c r="F96" s="185" t="str">
        <f t="shared" si="13"/>
        <v/>
      </c>
      <c r="G96" s="186" t="str">
        <f t="shared" si="7"/>
        <v/>
      </c>
      <c r="H96" s="187" t="str">
        <f t="shared" si="8"/>
        <v/>
      </c>
      <c r="I96" s="186" t="str">
        <f t="shared" si="9"/>
        <v/>
      </c>
      <c r="J96" s="185" t="str">
        <f t="shared" si="10"/>
        <v/>
      </c>
    </row>
    <row r="97" spans="4:10">
      <c r="D97" s="145" t="str">
        <f t="shared" si="11"/>
        <v/>
      </c>
      <c r="E97" s="184" t="str">
        <f t="shared" si="12"/>
        <v/>
      </c>
      <c r="F97" s="185" t="str">
        <f t="shared" si="13"/>
        <v/>
      </c>
      <c r="G97" s="186" t="str">
        <f t="shared" si="7"/>
        <v/>
      </c>
      <c r="H97" s="187" t="str">
        <f t="shared" si="8"/>
        <v/>
      </c>
      <c r="I97" s="186" t="str">
        <f t="shared" si="9"/>
        <v/>
      </c>
      <c r="J97" s="185" t="str">
        <f t="shared" si="10"/>
        <v/>
      </c>
    </row>
    <row r="98" spans="4:10">
      <c r="D98" s="145" t="str">
        <f t="shared" si="11"/>
        <v/>
      </c>
      <c r="E98" s="184" t="str">
        <f t="shared" si="12"/>
        <v/>
      </c>
      <c r="F98" s="185" t="str">
        <f t="shared" si="13"/>
        <v/>
      </c>
      <c r="G98" s="186" t="str">
        <f t="shared" si="7"/>
        <v/>
      </c>
      <c r="H98" s="187" t="str">
        <f t="shared" si="8"/>
        <v/>
      </c>
      <c r="I98" s="186" t="str">
        <f t="shared" si="9"/>
        <v/>
      </c>
      <c r="J98" s="185" t="str">
        <f t="shared" si="10"/>
        <v/>
      </c>
    </row>
    <row r="99" spans="4:10">
      <c r="D99" s="145" t="str">
        <f t="shared" si="11"/>
        <v/>
      </c>
      <c r="E99" s="184" t="str">
        <f t="shared" si="12"/>
        <v/>
      </c>
      <c r="F99" s="185" t="str">
        <f t="shared" si="13"/>
        <v/>
      </c>
      <c r="G99" s="186" t="str">
        <f t="shared" si="7"/>
        <v/>
      </c>
      <c r="H99" s="187" t="str">
        <f t="shared" si="8"/>
        <v/>
      </c>
      <c r="I99" s="186" t="str">
        <f t="shared" si="9"/>
        <v/>
      </c>
      <c r="J99" s="185" t="str">
        <f t="shared" si="10"/>
        <v/>
      </c>
    </row>
    <row r="100" spans="4:10">
      <c r="D100" s="145" t="str">
        <f t="shared" si="11"/>
        <v/>
      </c>
      <c r="E100" s="184" t="str">
        <f t="shared" si="12"/>
        <v/>
      </c>
      <c r="F100" s="185" t="str">
        <f t="shared" si="13"/>
        <v/>
      </c>
      <c r="G100" s="186" t="str">
        <f t="shared" si="7"/>
        <v/>
      </c>
      <c r="H100" s="187" t="str">
        <f t="shared" si="8"/>
        <v/>
      </c>
      <c r="I100" s="186" t="str">
        <f t="shared" si="9"/>
        <v/>
      </c>
      <c r="J100" s="185" t="str">
        <f t="shared" si="10"/>
        <v/>
      </c>
    </row>
    <row r="101" spans="4:10">
      <c r="D101" s="145" t="str">
        <f t="shared" si="11"/>
        <v/>
      </c>
      <c r="E101" s="184" t="str">
        <f t="shared" si="12"/>
        <v/>
      </c>
      <c r="F101" s="185" t="str">
        <f t="shared" si="13"/>
        <v/>
      </c>
      <c r="G101" s="186" t="str">
        <f t="shared" si="7"/>
        <v/>
      </c>
      <c r="H101" s="187" t="str">
        <f t="shared" si="8"/>
        <v/>
      </c>
      <c r="I101" s="186" t="str">
        <f t="shared" si="9"/>
        <v/>
      </c>
      <c r="J101" s="185" t="str">
        <f t="shared" si="10"/>
        <v/>
      </c>
    </row>
    <row r="102" spans="4:10">
      <c r="D102" s="145" t="str">
        <f t="shared" si="11"/>
        <v/>
      </c>
      <c r="E102" s="184" t="str">
        <f t="shared" si="12"/>
        <v/>
      </c>
      <c r="F102" s="185" t="str">
        <f t="shared" si="13"/>
        <v/>
      </c>
      <c r="G102" s="186" t="str">
        <f t="shared" si="7"/>
        <v/>
      </c>
      <c r="H102" s="187" t="str">
        <f t="shared" si="8"/>
        <v/>
      </c>
      <c r="I102" s="186" t="str">
        <f t="shared" si="9"/>
        <v/>
      </c>
      <c r="J102" s="185" t="str">
        <f t="shared" si="10"/>
        <v/>
      </c>
    </row>
    <row r="103" spans="4:10">
      <c r="D103" s="145" t="str">
        <f t="shared" si="11"/>
        <v/>
      </c>
      <c r="E103" s="184" t="str">
        <f t="shared" si="12"/>
        <v/>
      </c>
      <c r="F103" s="185" t="str">
        <f t="shared" si="13"/>
        <v/>
      </c>
      <c r="G103" s="186" t="str">
        <f t="shared" si="7"/>
        <v/>
      </c>
      <c r="H103" s="187" t="str">
        <f t="shared" si="8"/>
        <v/>
      </c>
      <c r="I103" s="186" t="str">
        <f t="shared" si="9"/>
        <v/>
      </c>
      <c r="J103" s="185" t="str">
        <f t="shared" si="10"/>
        <v/>
      </c>
    </row>
    <row r="104" spans="4:10">
      <c r="D104" s="145" t="str">
        <f t="shared" si="11"/>
        <v/>
      </c>
      <c r="E104" s="184" t="str">
        <f t="shared" si="12"/>
        <v/>
      </c>
      <c r="F104" s="185" t="str">
        <f t="shared" si="13"/>
        <v/>
      </c>
      <c r="G104" s="186" t="str">
        <f t="shared" si="7"/>
        <v/>
      </c>
      <c r="H104" s="187" t="str">
        <f t="shared" si="8"/>
        <v/>
      </c>
      <c r="I104" s="186" t="str">
        <f t="shared" si="9"/>
        <v/>
      </c>
      <c r="J104" s="185" t="str">
        <f t="shared" si="10"/>
        <v/>
      </c>
    </row>
    <row r="105" spans="4:10">
      <c r="D105" s="145" t="str">
        <f t="shared" si="11"/>
        <v/>
      </c>
      <c r="E105" s="184" t="str">
        <f t="shared" si="12"/>
        <v/>
      </c>
      <c r="F105" s="185" t="str">
        <f t="shared" si="13"/>
        <v/>
      </c>
      <c r="G105" s="186" t="str">
        <f t="shared" si="7"/>
        <v/>
      </c>
      <c r="H105" s="187" t="str">
        <f t="shared" si="8"/>
        <v/>
      </c>
      <c r="I105" s="186" t="str">
        <f t="shared" si="9"/>
        <v/>
      </c>
      <c r="J105" s="185" t="str">
        <f t="shared" si="10"/>
        <v/>
      </c>
    </row>
    <row r="106" spans="4:10">
      <c r="D106" s="145" t="str">
        <f t="shared" si="11"/>
        <v/>
      </c>
      <c r="E106" s="184" t="str">
        <f t="shared" si="12"/>
        <v/>
      </c>
      <c r="F106" s="185" t="str">
        <f t="shared" si="13"/>
        <v/>
      </c>
      <c r="G106" s="186" t="str">
        <f t="shared" si="7"/>
        <v/>
      </c>
      <c r="H106" s="187" t="str">
        <f t="shared" si="8"/>
        <v/>
      </c>
      <c r="I106" s="186" t="str">
        <f t="shared" si="9"/>
        <v/>
      </c>
      <c r="J106" s="185" t="str">
        <f t="shared" si="10"/>
        <v/>
      </c>
    </row>
    <row r="107" spans="4:10">
      <c r="D107" s="145" t="str">
        <f t="shared" si="11"/>
        <v/>
      </c>
      <c r="E107" s="184" t="str">
        <f t="shared" si="12"/>
        <v/>
      </c>
      <c r="F107" s="185" t="str">
        <f t="shared" si="13"/>
        <v/>
      </c>
      <c r="G107" s="186" t="str">
        <f t="shared" si="7"/>
        <v/>
      </c>
      <c r="H107" s="187" t="str">
        <f t="shared" si="8"/>
        <v/>
      </c>
      <c r="I107" s="186" t="str">
        <f t="shared" si="9"/>
        <v/>
      </c>
      <c r="J107" s="185" t="str">
        <f t="shared" si="10"/>
        <v/>
      </c>
    </row>
    <row r="108" spans="4:10">
      <c r="D108" s="145" t="str">
        <f t="shared" si="11"/>
        <v/>
      </c>
      <c r="E108" s="184" t="str">
        <f t="shared" si="12"/>
        <v/>
      </c>
      <c r="F108" s="185" t="str">
        <f t="shared" si="13"/>
        <v/>
      </c>
      <c r="G108" s="186" t="str">
        <f t="shared" si="7"/>
        <v/>
      </c>
      <c r="H108" s="187" t="str">
        <f t="shared" si="8"/>
        <v/>
      </c>
      <c r="I108" s="186" t="str">
        <f t="shared" si="9"/>
        <v/>
      </c>
      <c r="J108" s="185" t="str">
        <f t="shared" si="10"/>
        <v/>
      </c>
    </row>
    <row r="109" spans="4:10">
      <c r="D109" s="145" t="str">
        <f t="shared" si="11"/>
        <v/>
      </c>
      <c r="E109" s="184" t="str">
        <f t="shared" si="12"/>
        <v/>
      </c>
      <c r="F109" s="185" t="str">
        <f t="shared" si="13"/>
        <v/>
      </c>
      <c r="G109" s="186" t="str">
        <f t="shared" si="7"/>
        <v/>
      </c>
      <c r="H109" s="187" t="str">
        <f t="shared" si="8"/>
        <v/>
      </c>
      <c r="I109" s="186" t="str">
        <f t="shared" si="9"/>
        <v/>
      </c>
      <c r="J109" s="185" t="str">
        <f t="shared" si="10"/>
        <v/>
      </c>
    </row>
    <row r="110" spans="4:10">
      <c r="D110" s="145" t="str">
        <f t="shared" si="11"/>
        <v/>
      </c>
      <c r="E110" s="184" t="str">
        <f t="shared" si="12"/>
        <v/>
      </c>
      <c r="F110" s="185" t="str">
        <f t="shared" si="13"/>
        <v/>
      </c>
      <c r="G110" s="186" t="str">
        <f t="shared" si="7"/>
        <v/>
      </c>
      <c r="H110" s="187" t="str">
        <f t="shared" si="8"/>
        <v/>
      </c>
      <c r="I110" s="186" t="str">
        <f t="shared" si="9"/>
        <v/>
      </c>
      <c r="J110" s="185" t="str">
        <f t="shared" si="10"/>
        <v/>
      </c>
    </row>
    <row r="111" spans="4:10">
      <c r="D111" s="145" t="str">
        <f t="shared" si="11"/>
        <v/>
      </c>
      <c r="E111" s="184" t="str">
        <f t="shared" si="12"/>
        <v/>
      </c>
      <c r="F111" s="185" t="str">
        <f t="shared" si="13"/>
        <v/>
      </c>
      <c r="G111" s="186" t="str">
        <f t="shared" si="7"/>
        <v/>
      </c>
      <c r="H111" s="187" t="str">
        <f t="shared" si="8"/>
        <v/>
      </c>
      <c r="I111" s="186" t="str">
        <f t="shared" si="9"/>
        <v/>
      </c>
      <c r="J111" s="185" t="str">
        <f t="shared" si="10"/>
        <v/>
      </c>
    </row>
    <row r="112" spans="4:10">
      <c r="D112" s="145" t="str">
        <f t="shared" si="11"/>
        <v/>
      </c>
      <c r="E112" s="184" t="str">
        <f t="shared" si="12"/>
        <v/>
      </c>
      <c r="F112" s="185" t="str">
        <f t="shared" si="13"/>
        <v/>
      </c>
      <c r="G112" s="186" t="str">
        <f t="shared" si="7"/>
        <v/>
      </c>
      <c r="H112" s="187" t="str">
        <f t="shared" si="8"/>
        <v/>
      </c>
      <c r="I112" s="186" t="str">
        <f t="shared" si="9"/>
        <v/>
      </c>
      <c r="J112" s="185" t="str">
        <f t="shared" si="10"/>
        <v/>
      </c>
    </row>
    <row r="113" spans="4:10">
      <c r="D113" s="145" t="str">
        <f t="shared" si="11"/>
        <v/>
      </c>
      <c r="E113" s="184" t="str">
        <f t="shared" si="12"/>
        <v/>
      </c>
      <c r="F113" s="185" t="str">
        <f t="shared" si="13"/>
        <v/>
      </c>
      <c r="G113" s="186" t="str">
        <f t="shared" si="7"/>
        <v/>
      </c>
      <c r="H113" s="187" t="str">
        <f t="shared" si="8"/>
        <v/>
      </c>
      <c r="I113" s="186" t="str">
        <f t="shared" si="9"/>
        <v/>
      </c>
      <c r="J113" s="185" t="str">
        <f t="shared" si="10"/>
        <v/>
      </c>
    </row>
    <row r="114" spans="4:10">
      <c r="D114" s="145" t="str">
        <f t="shared" si="11"/>
        <v/>
      </c>
      <c r="E114" s="184" t="str">
        <f t="shared" si="12"/>
        <v/>
      </c>
      <c r="F114" s="185" t="str">
        <f t="shared" si="13"/>
        <v/>
      </c>
      <c r="G114" s="186" t="str">
        <f t="shared" si="7"/>
        <v/>
      </c>
      <c r="H114" s="187" t="str">
        <f t="shared" si="8"/>
        <v/>
      </c>
      <c r="I114" s="186" t="str">
        <f t="shared" si="9"/>
        <v/>
      </c>
      <c r="J114" s="185" t="str">
        <f t="shared" si="10"/>
        <v/>
      </c>
    </row>
    <row r="115" spans="4:10">
      <c r="D115" s="145" t="str">
        <f t="shared" si="11"/>
        <v/>
      </c>
      <c r="E115" s="184" t="str">
        <f t="shared" si="12"/>
        <v/>
      </c>
      <c r="F115" s="185" t="str">
        <f t="shared" si="13"/>
        <v/>
      </c>
      <c r="G115" s="186" t="str">
        <f t="shared" si="7"/>
        <v/>
      </c>
      <c r="H115" s="187" t="str">
        <f t="shared" si="8"/>
        <v/>
      </c>
      <c r="I115" s="186" t="str">
        <f t="shared" si="9"/>
        <v/>
      </c>
      <c r="J115" s="185" t="str">
        <f t="shared" si="10"/>
        <v/>
      </c>
    </row>
    <row r="116" spans="4:10">
      <c r="D116" s="145" t="str">
        <f t="shared" si="11"/>
        <v/>
      </c>
      <c r="E116" s="184" t="str">
        <f t="shared" si="12"/>
        <v/>
      </c>
      <c r="F116" s="185" t="str">
        <f t="shared" si="13"/>
        <v/>
      </c>
      <c r="G116" s="186" t="str">
        <f t="shared" si="7"/>
        <v/>
      </c>
      <c r="H116" s="187" t="str">
        <f t="shared" si="8"/>
        <v/>
      </c>
      <c r="I116" s="186" t="str">
        <f t="shared" si="9"/>
        <v/>
      </c>
      <c r="J116" s="185" t="str">
        <f t="shared" si="10"/>
        <v/>
      </c>
    </row>
    <row r="117" spans="4:10">
      <c r="D117" s="145" t="str">
        <f t="shared" si="11"/>
        <v/>
      </c>
      <c r="E117" s="184" t="str">
        <f t="shared" si="12"/>
        <v/>
      </c>
      <c r="F117" s="185" t="str">
        <f t="shared" si="13"/>
        <v/>
      </c>
      <c r="G117" s="186" t="str">
        <f t="shared" si="7"/>
        <v/>
      </c>
      <c r="H117" s="187" t="str">
        <f t="shared" si="8"/>
        <v/>
      </c>
      <c r="I117" s="186" t="str">
        <f t="shared" si="9"/>
        <v/>
      </c>
      <c r="J117" s="185" t="str">
        <f t="shared" si="10"/>
        <v/>
      </c>
    </row>
    <row r="118" spans="4:10">
      <c r="D118" s="145" t="str">
        <f t="shared" si="11"/>
        <v/>
      </c>
      <c r="E118" s="184" t="str">
        <f t="shared" si="12"/>
        <v/>
      </c>
      <c r="F118" s="185" t="str">
        <f t="shared" si="13"/>
        <v/>
      </c>
      <c r="G118" s="186" t="str">
        <f t="shared" si="7"/>
        <v/>
      </c>
      <c r="H118" s="187" t="str">
        <f t="shared" si="8"/>
        <v/>
      </c>
      <c r="I118" s="186" t="str">
        <f t="shared" si="9"/>
        <v/>
      </c>
      <c r="J118" s="185" t="str">
        <f t="shared" si="10"/>
        <v/>
      </c>
    </row>
    <row r="119" spans="4:10">
      <c r="D119" s="145" t="str">
        <f t="shared" si="11"/>
        <v/>
      </c>
      <c r="E119" s="184" t="str">
        <f t="shared" si="12"/>
        <v/>
      </c>
      <c r="F119" s="185" t="str">
        <f t="shared" si="13"/>
        <v/>
      </c>
      <c r="G119" s="186" t="str">
        <f t="shared" si="7"/>
        <v/>
      </c>
      <c r="H119" s="187" t="str">
        <f t="shared" si="8"/>
        <v/>
      </c>
      <c r="I119" s="186" t="str">
        <f t="shared" si="9"/>
        <v/>
      </c>
      <c r="J119" s="185" t="str">
        <f t="shared" si="10"/>
        <v/>
      </c>
    </row>
    <row r="120" spans="4:10">
      <c r="D120" s="145" t="str">
        <f t="shared" si="11"/>
        <v/>
      </c>
      <c r="E120" s="184" t="str">
        <f t="shared" si="12"/>
        <v/>
      </c>
      <c r="F120" s="185" t="str">
        <f t="shared" si="13"/>
        <v/>
      </c>
      <c r="G120" s="186" t="str">
        <f t="shared" si="7"/>
        <v/>
      </c>
      <c r="H120" s="187" t="str">
        <f t="shared" si="8"/>
        <v/>
      </c>
      <c r="I120" s="186" t="str">
        <f t="shared" si="9"/>
        <v/>
      </c>
      <c r="J120" s="185" t="str">
        <f t="shared" si="10"/>
        <v/>
      </c>
    </row>
    <row r="121" spans="4:10">
      <c r="D121" s="145" t="str">
        <f t="shared" si="11"/>
        <v/>
      </c>
      <c r="E121" s="184" t="str">
        <f t="shared" si="12"/>
        <v/>
      </c>
      <c r="F121" s="185" t="str">
        <f t="shared" si="13"/>
        <v/>
      </c>
      <c r="G121" s="186" t="str">
        <f t="shared" si="7"/>
        <v/>
      </c>
      <c r="H121" s="187" t="str">
        <f t="shared" si="8"/>
        <v/>
      </c>
      <c r="I121" s="186" t="str">
        <f t="shared" si="9"/>
        <v/>
      </c>
      <c r="J121" s="185" t="str">
        <f t="shared" si="10"/>
        <v/>
      </c>
    </row>
    <row r="122" spans="4:10">
      <c r="D122" s="145" t="str">
        <f t="shared" si="11"/>
        <v/>
      </c>
      <c r="E122" s="184" t="str">
        <f t="shared" si="12"/>
        <v/>
      </c>
      <c r="F122" s="185" t="str">
        <f t="shared" si="13"/>
        <v/>
      </c>
      <c r="G122" s="186" t="str">
        <f t="shared" si="7"/>
        <v/>
      </c>
      <c r="H122" s="187" t="str">
        <f t="shared" si="8"/>
        <v/>
      </c>
      <c r="I122" s="186" t="str">
        <f t="shared" si="9"/>
        <v/>
      </c>
      <c r="J122" s="185" t="str">
        <f t="shared" si="10"/>
        <v/>
      </c>
    </row>
    <row r="123" spans="4:10">
      <c r="D123" s="145" t="str">
        <f t="shared" si="11"/>
        <v/>
      </c>
      <c r="E123" s="184" t="str">
        <f t="shared" si="12"/>
        <v/>
      </c>
      <c r="F123" s="185" t="str">
        <f t="shared" si="13"/>
        <v/>
      </c>
      <c r="G123" s="186" t="str">
        <f t="shared" si="7"/>
        <v/>
      </c>
      <c r="H123" s="187" t="str">
        <f t="shared" si="8"/>
        <v/>
      </c>
      <c r="I123" s="186" t="str">
        <f t="shared" si="9"/>
        <v/>
      </c>
      <c r="J123" s="185" t="str">
        <f t="shared" si="10"/>
        <v/>
      </c>
    </row>
    <row r="124" spans="4:10">
      <c r="D124" s="145" t="str">
        <f t="shared" si="11"/>
        <v/>
      </c>
      <c r="E124" s="184" t="str">
        <f t="shared" si="12"/>
        <v/>
      </c>
      <c r="F124" s="185" t="str">
        <f t="shared" si="13"/>
        <v/>
      </c>
      <c r="G124" s="186" t="str">
        <f t="shared" si="7"/>
        <v/>
      </c>
      <c r="H124" s="187" t="str">
        <f t="shared" si="8"/>
        <v/>
      </c>
      <c r="I124" s="186" t="str">
        <f t="shared" si="9"/>
        <v/>
      </c>
      <c r="J124" s="185" t="str">
        <f t="shared" si="10"/>
        <v/>
      </c>
    </row>
    <row r="125" spans="4:10">
      <c r="D125" s="145" t="str">
        <f t="shared" si="11"/>
        <v/>
      </c>
      <c r="E125" s="184" t="str">
        <f t="shared" si="12"/>
        <v/>
      </c>
      <c r="F125" s="185" t="str">
        <f t="shared" si="13"/>
        <v/>
      </c>
      <c r="G125" s="186" t="str">
        <f t="shared" si="7"/>
        <v/>
      </c>
      <c r="H125" s="187" t="str">
        <f t="shared" si="8"/>
        <v/>
      </c>
      <c r="I125" s="186" t="str">
        <f t="shared" si="9"/>
        <v/>
      </c>
      <c r="J125" s="185" t="str">
        <f t="shared" si="10"/>
        <v/>
      </c>
    </row>
    <row r="126" spans="4:10">
      <c r="D126" s="145" t="str">
        <f t="shared" si="11"/>
        <v/>
      </c>
      <c r="E126" s="184" t="str">
        <f t="shared" si="12"/>
        <v/>
      </c>
      <c r="F126" s="185" t="str">
        <f t="shared" si="13"/>
        <v/>
      </c>
      <c r="G126" s="186" t="str">
        <f t="shared" si="7"/>
        <v/>
      </c>
      <c r="H126" s="187" t="str">
        <f t="shared" si="8"/>
        <v/>
      </c>
      <c r="I126" s="186" t="str">
        <f t="shared" si="9"/>
        <v/>
      </c>
      <c r="J126" s="185" t="str">
        <f t="shared" si="10"/>
        <v/>
      </c>
    </row>
    <row r="127" spans="4:10">
      <c r="D127" s="145" t="str">
        <f t="shared" si="11"/>
        <v/>
      </c>
      <c r="E127" s="184" t="str">
        <f t="shared" si="12"/>
        <v/>
      </c>
      <c r="F127" s="185" t="str">
        <f t="shared" si="13"/>
        <v/>
      </c>
      <c r="G127" s="186" t="str">
        <f t="shared" si="7"/>
        <v/>
      </c>
      <c r="H127" s="187" t="str">
        <f t="shared" si="8"/>
        <v/>
      </c>
      <c r="I127" s="186" t="str">
        <f t="shared" si="9"/>
        <v/>
      </c>
      <c r="J127" s="185" t="str">
        <f t="shared" si="10"/>
        <v/>
      </c>
    </row>
    <row r="128" spans="4:10">
      <c r="D128" s="145" t="str">
        <f t="shared" si="11"/>
        <v/>
      </c>
      <c r="E128" s="184" t="str">
        <f t="shared" si="12"/>
        <v/>
      </c>
      <c r="F128" s="185" t="str">
        <f t="shared" si="13"/>
        <v/>
      </c>
      <c r="G128" s="186" t="str">
        <f t="shared" si="7"/>
        <v/>
      </c>
      <c r="H128" s="187" t="str">
        <f t="shared" si="8"/>
        <v/>
      </c>
      <c r="I128" s="186" t="str">
        <f t="shared" si="9"/>
        <v/>
      </c>
      <c r="J128" s="185" t="str">
        <f t="shared" si="10"/>
        <v/>
      </c>
    </row>
    <row r="129" spans="4:10">
      <c r="D129" s="145" t="str">
        <f t="shared" si="11"/>
        <v/>
      </c>
      <c r="E129" s="184" t="str">
        <f t="shared" si="12"/>
        <v/>
      </c>
      <c r="F129" s="185" t="str">
        <f t="shared" si="13"/>
        <v/>
      </c>
      <c r="G129" s="186" t="str">
        <f t="shared" si="7"/>
        <v/>
      </c>
      <c r="H129" s="187" t="str">
        <f t="shared" si="8"/>
        <v/>
      </c>
      <c r="I129" s="186" t="str">
        <f t="shared" si="9"/>
        <v/>
      </c>
      <c r="J129" s="185" t="str">
        <f t="shared" si="10"/>
        <v/>
      </c>
    </row>
    <row r="130" spans="4:10">
      <c r="D130" s="145" t="str">
        <f t="shared" si="11"/>
        <v/>
      </c>
      <c r="E130" s="184" t="str">
        <f t="shared" si="12"/>
        <v/>
      </c>
      <c r="F130" s="185" t="str">
        <f t="shared" si="13"/>
        <v/>
      </c>
      <c r="G130" s="186" t="str">
        <f t="shared" si="7"/>
        <v/>
      </c>
      <c r="H130" s="187" t="str">
        <f t="shared" si="8"/>
        <v/>
      </c>
      <c r="I130" s="186" t="str">
        <f t="shared" si="9"/>
        <v/>
      </c>
      <c r="J130" s="185" t="str">
        <f t="shared" si="10"/>
        <v/>
      </c>
    </row>
    <row r="131" spans="4:10">
      <c r="D131" s="145" t="str">
        <f t="shared" si="11"/>
        <v/>
      </c>
      <c r="E131" s="184" t="str">
        <f t="shared" si="12"/>
        <v/>
      </c>
      <c r="F131" s="185" t="str">
        <f t="shared" si="13"/>
        <v/>
      </c>
      <c r="G131" s="186" t="str">
        <f t="shared" si="7"/>
        <v/>
      </c>
      <c r="H131" s="187" t="str">
        <f t="shared" si="8"/>
        <v/>
      </c>
      <c r="I131" s="186" t="str">
        <f t="shared" si="9"/>
        <v/>
      </c>
      <c r="J131" s="185" t="str">
        <f t="shared" si="10"/>
        <v/>
      </c>
    </row>
    <row r="132" spans="4:10">
      <c r="D132" s="145" t="str">
        <f t="shared" si="11"/>
        <v/>
      </c>
      <c r="E132" s="184" t="str">
        <f t="shared" si="12"/>
        <v/>
      </c>
      <c r="F132" s="185" t="str">
        <f t="shared" si="13"/>
        <v/>
      </c>
      <c r="G132" s="186" t="str">
        <f t="shared" si="7"/>
        <v/>
      </c>
      <c r="H132" s="187" t="str">
        <f t="shared" si="8"/>
        <v/>
      </c>
      <c r="I132" s="186" t="str">
        <f t="shared" si="9"/>
        <v/>
      </c>
      <c r="J132" s="185" t="str">
        <f t="shared" si="10"/>
        <v/>
      </c>
    </row>
    <row r="133" spans="4:10">
      <c r="D133" s="145" t="str">
        <f t="shared" si="11"/>
        <v/>
      </c>
      <c r="E133" s="184" t="str">
        <f t="shared" si="12"/>
        <v/>
      </c>
      <c r="F133" s="185" t="str">
        <f t="shared" si="13"/>
        <v/>
      </c>
      <c r="G133" s="186" t="str">
        <f t="shared" si="7"/>
        <v/>
      </c>
      <c r="H133" s="187" t="str">
        <f t="shared" si="8"/>
        <v/>
      </c>
      <c r="I133" s="186" t="str">
        <f t="shared" si="9"/>
        <v/>
      </c>
      <c r="J133" s="185" t="str">
        <f t="shared" si="10"/>
        <v/>
      </c>
    </row>
    <row r="134" spans="4:10">
      <c r="D134" s="145" t="str">
        <f t="shared" si="11"/>
        <v/>
      </c>
      <c r="E134" s="184" t="str">
        <f t="shared" si="12"/>
        <v/>
      </c>
      <c r="F134" s="185" t="str">
        <f t="shared" si="13"/>
        <v/>
      </c>
      <c r="G134" s="186" t="str">
        <f t="shared" si="7"/>
        <v/>
      </c>
      <c r="H134" s="187" t="str">
        <f t="shared" si="8"/>
        <v/>
      </c>
      <c r="I134" s="186" t="str">
        <f t="shared" si="9"/>
        <v/>
      </c>
      <c r="J134" s="185" t="str">
        <f t="shared" si="10"/>
        <v/>
      </c>
    </row>
    <row r="135" spans="4:10">
      <c r="D135" s="145" t="str">
        <f t="shared" si="11"/>
        <v/>
      </c>
      <c r="E135" s="184" t="str">
        <f t="shared" si="12"/>
        <v/>
      </c>
      <c r="F135" s="185" t="str">
        <f t="shared" si="13"/>
        <v/>
      </c>
      <c r="G135" s="186" t="str">
        <f t="shared" si="7"/>
        <v/>
      </c>
      <c r="H135" s="187" t="str">
        <f t="shared" si="8"/>
        <v/>
      </c>
      <c r="I135" s="186" t="str">
        <f t="shared" si="9"/>
        <v/>
      </c>
      <c r="J135" s="185" t="str">
        <f t="shared" si="10"/>
        <v/>
      </c>
    </row>
    <row r="136" spans="4:10">
      <c r="D136" s="145" t="str">
        <f t="shared" si="11"/>
        <v/>
      </c>
      <c r="E136" s="184" t="str">
        <f t="shared" si="12"/>
        <v/>
      </c>
      <c r="F136" s="185" t="str">
        <f t="shared" si="13"/>
        <v/>
      </c>
      <c r="G136" s="186" t="str">
        <f t="shared" si="7"/>
        <v/>
      </c>
      <c r="H136" s="187" t="str">
        <f t="shared" si="8"/>
        <v/>
      </c>
      <c r="I136" s="186" t="str">
        <f t="shared" si="9"/>
        <v/>
      </c>
      <c r="J136" s="185" t="str">
        <f t="shared" si="10"/>
        <v/>
      </c>
    </row>
    <row r="137" spans="4:10">
      <c r="D137" s="145" t="str">
        <f t="shared" si="11"/>
        <v/>
      </c>
      <c r="E137" s="184" t="str">
        <f t="shared" si="12"/>
        <v/>
      </c>
      <c r="F137" s="185" t="str">
        <f t="shared" si="13"/>
        <v/>
      </c>
      <c r="G137" s="186" t="str">
        <f t="shared" si="7"/>
        <v/>
      </c>
      <c r="H137" s="187" t="str">
        <f t="shared" si="8"/>
        <v/>
      </c>
      <c r="I137" s="186" t="str">
        <f t="shared" si="9"/>
        <v/>
      </c>
      <c r="J137" s="185" t="str">
        <f t="shared" si="10"/>
        <v/>
      </c>
    </row>
    <row r="138" spans="4:10">
      <c r="D138" s="145" t="str">
        <f t="shared" si="11"/>
        <v/>
      </c>
      <c r="E138" s="184" t="str">
        <f t="shared" si="12"/>
        <v/>
      </c>
      <c r="F138" s="185" t="str">
        <f t="shared" si="13"/>
        <v/>
      </c>
      <c r="G138" s="186" t="str">
        <f t="shared" si="7"/>
        <v/>
      </c>
      <c r="H138" s="187" t="str">
        <f t="shared" si="8"/>
        <v/>
      </c>
      <c r="I138" s="186" t="str">
        <f t="shared" si="9"/>
        <v/>
      </c>
      <c r="J138" s="185" t="str">
        <f t="shared" si="10"/>
        <v/>
      </c>
    </row>
    <row r="139" spans="4:10">
      <c r="D139" s="145" t="str">
        <f t="shared" si="11"/>
        <v/>
      </c>
      <c r="E139" s="184" t="str">
        <f t="shared" si="12"/>
        <v/>
      </c>
      <c r="F139" s="185" t="str">
        <f t="shared" si="13"/>
        <v/>
      </c>
      <c r="G139" s="186" t="str">
        <f t="shared" si="7"/>
        <v/>
      </c>
      <c r="H139" s="187" t="str">
        <f t="shared" si="8"/>
        <v/>
      </c>
      <c r="I139" s="186" t="str">
        <f t="shared" si="9"/>
        <v/>
      </c>
      <c r="J139" s="185" t="str">
        <f t="shared" si="10"/>
        <v/>
      </c>
    </row>
    <row r="140" spans="4:10">
      <c r="D140" s="145" t="str">
        <f t="shared" si="11"/>
        <v/>
      </c>
      <c r="E140" s="184" t="str">
        <f t="shared" si="12"/>
        <v/>
      </c>
      <c r="F140" s="185" t="str">
        <f t="shared" si="13"/>
        <v/>
      </c>
      <c r="G140" s="186" t="str">
        <f t="shared" si="7"/>
        <v/>
      </c>
      <c r="H140" s="187" t="str">
        <f t="shared" si="8"/>
        <v/>
      </c>
      <c r="I140" s="186" t="str">
        <f t="shared" si="9"/>
        <v/>
      </c>
      <c r="J140" s="185" t="str">
        <f t="shared" si="10"/>
        <v/>
      </c>
    </row>
    <row r="141" spans="4:10">
      <c r="D141" s="145" t="str">
        <f t="shared" si="11"/>
        <v/>
      </c>
      <c r="E141" s="184" t="str">
        <f t="shared" si="12"/>
        <v/>
      </c>
      <c r="F141" s="185" t="str">
        <f t="shared" si="13"/>
        <v/>
      </c>
      <c r="G141" s="186" t="str">
        <f t="shared" si="7"/>
        <v/>
      </c>
      <c r="H141" s="187" t="str">
        <f t="shared" si="8"/>
        <v/>
      </c>
      <c r="I141" s="186" t="str">
        <f t="shared" si="9"/>
        <v/>
      </c>
      <c r="J141" s="185" t="str">
        <f t="shared" si="10"/>
        <v/>
      </c>
    </row>
    <row r="142" spans="4:10">
      <c r="D142" s="145" t="str">
        <f t="shared" si="11"/>
        <v/>
      </c>
      <c r="E142" s="184" t="str">
        <f t="shared" si="12"/>
        <v/>
      </c>
      <c r="F142" s="185" t="str">
        <f t="shared" si="13"/>
        <v/>
      </c>
      <c r="G142" s="186" t="str">
        <f t="shared" si="7"/>
        <v/>
      </c>
      <c r="H142" s="187" t="str">
        <f t="shared" si="8"/>
        <v/>
      </c>
      <c r="I142" s="186" t="str">
        <f t="shared" si="9"/>
        <v/>
      </c>
      <c r="J142" s="185" t="str">
        <f t="shared" si="10"/>
        <v/>
      </c>
    </row>
    <row r="143" spans="4:10">
      <c r="D143" s="145" t="str">
        <f t="shared" si="11"/>
        <v/>
      </c>
      <c r="E143" s="184" t="str">
        <f t="shared" si="12"/>
        <v/>
      </c>
      <c r="F143" s="185" t="str">
        <f t="shared" si="13"/>
        <v/>
      </c>
      <c r="G143" s="186" t="str">
        <f t="shared" si="7"/>
        <v/>
      </c>
      <c r="H143" s="187" t="str">
        <f t="shared" si="8"/>
        <v/>
      </c>
      <c r="I143" s="186" t="str">
        <f t="shared" si="9"/>
        <v/>
      </c>
      <c r="J143" s="185" t="str">
        <f t="shared" si="10"/>
        <v/>
      </c>
    </row>
    <row r="144" spans="4:10">
      <c r="D144" s="145" t="str">
        <f t="shared" si="11"/>
        <v/>
      </c>
      <c r="E144" s="184" t="str">
        <f t="shared" si="12"/>
        <v/>
      </c>
      <c r="F144" s="185" t="str">
        <f t="shared" si="13"/>
        <v/>
      </c>
      <c r="G144" s="186" t="str">
        <f t="shared" si="7"/>
        <v/>
      </c>
      <c r="H144" s="187" t="str">
        <f t="shared" si="8"/>
        <v/>
      </c>
      <c r="I144" s="186" t="str">
        <f t="shared" si="9"/>
        <v/>
      </c>
      <c r="J144" s="185" t="str">
        <f t="shared" si="10"/>
        <v/>
      </c>
    </row>
    <row r="145" spans="4:10">
      <c r="D145" s="145" t="str">
        <f t="shared" si="11"/>
        <v/>
      </c>
      <c r="E145" s="184" t="str">
        <f t="shared" si="12"/>
        <v/>
      </c>
      <c r="F145" s="185" t="str">
        <f t="shared" si="13"/>
        <v/>
      </c>
      <c r="G145" s="186" t="str">
        <f t="shared" si="7"/>
        <v/>
      </c>
      <c r="H145" s="187" t="str">
        <f t="shared" si="8"/>
        <v/>
      </c>
      <c r="I145" s="186" t="str">
        <f t="shared" si="9"/>
        <v/>
      </c>
      <c r="J145" s="185" t="str">
        <f t="shared" si="10"/>
        <v/>
      </c>
    </row>
    <row r="146" spans="4:10">
      <c r="D146" s="145" t="str">
        <f t="shared" si="11"/>
        <v/>
      </c>
      <c r="E146" s="184" t="str">
        <f t="shared" si="12"/>
        <v/>
      </c>
      <c r="F146" s="185" t="str">
        <f t="shared" si="13"/>
        <v/>
      </c>
      <c r="G146" s="186" t="str">
        <f t="shared" si="7"/>
        <v/>
      </c>
      <c r="H146" s="187" t="str">
        <f t="shared" si="8"/>
        <v/>
      </c>
      <c r="I146" s="186" t="str">
        <f t="shared" si="9"/>
        <v/>
      </c>
      <c r="J146" s="185" t="str">
        <f t="shared" si="10"/>
        <v/>
      </c>
    </row>
    <row r="147" spans="4:10">
      <c r="D147" s="145" t="str">
        <f t="shared" si="11"/>
        <v/>
      </c>
      <c r="E147" s="184" t="str">
        <f t="shared" si="12"/>
        <v/>
      </c>
      <c r="F147" s="185" t="str">
        <f t="shared" si="13"/>
        <v/>
      </c>
      <c r="G147" s="186" t="str">
        <f t="shared" ref="G147:G210" si="14">IF(D147="","",$C$13)</f>
        <v/>
      </c>
      <c r="H147" s="187" t="str">
        <f t="shared" ref="H147:H210" si="15">IF(D147="","",F147*$C$7/12)</f>
        <v/>
      </c>
      <c r="I147" s="186" t="str">
        <f t="shared" ref="I147:I210" si="16">IF(D147="","",G147-H147)</f>
        <v/>
      </c>
      <c r="J147" s="185" t="str">
        <f t="shared" ref="J147:J210" si="17">IF(D147="","",F147-I147)</f>
        <v/>
      </c>
    </row>
    <row r="148" spans="4:10">
      <c r="D148" s="145" t="str">
        <f t="shared" ref="D148:D211" si="18">IFERROR(IF(D147+1&lt;=$C$12,D147+1,""),"")</f>
        <v/>
      </c>
      <c r="E148" s="184" t="str">
        <f t="shared" ref="E148:E211" si="19">IF(D148="","",EOMONTH(E147,1))</f>
        <v/>
      </c>
      <c r="F148" s="185" t="str">
        <f t="shared" ref="F148:F211" si="20">IF(D148="","",J147)</f>
        <v/>
      </c>
      <c r="G148" s="186" t="str">
        <f t="shared" si="14"/>
        <v/>
      </c>
      <c r="H148" s="187" t="str">
        <f t="shared" si="15"/>
        <v/>
      </c>
      <c r="I148" s="186" t="str">
        <f t="shared" si="16"/>
        <v/>
      </c>
      <c r="J148" s="185" t="str">
        <f t="shared" si="17"/>
        <v/>
      </c>
    </row>
    <row r="149" spans="4:10">
      <c r="D149" s="145" t="str">
        <f t="shared" si="18"/>
        <v/>
      </c>
      <c r="E149" s="184" t="str">
        <f t="shared" si="19"/>
        <v/>
      </c>
      <c r="F149" s="185" t="str">
        <f t="shared" si="20"/>
        <v/>
      </c>
      <c r="G149" s="186" t="str">
        <f t="shared" si="14"/>
        <v/>
      </c>
      <c r="H149" s="187" t="str">
        <f t="shared" si="15"/>
        <v/>
      </c>
      <c r="I149" s="186" t="str">
        <f t="shared" si="16"/>
        <v/>
      </c>
      <c r="J149" s="185" t="str">
        <f t="shared" si="17"/>
        <v/>
      </c>
    </row>
    <row r="150" spans="4:10">
      <c r="D150" s="145" t="str">
        <f t="shared" si="18"/>
        <v/>
      </c>
      <c r="E150" s="184" t="str">
        <f t="shared" si="19"/>
        <v/>
      </c>
      <c r="F150" s="185" t="str">
        <f t="shared" si="20"/>
        <v/>
      </c>
      <c r="G150" s="186" t="str">
        <f t="shared" si="14"/>
        <v/>
      </c>
      <c r="H150" s="187" t="str">
        <f t="shared" si="15"/>
        <v/>
      </c>
      <c r="I150" s="186" t="str">
        <f t="shared" si="16"/>
        <v/>
      </c>
      <c r="J150" s="185" t="str">
        <f t="shared" si="17"/>
        <v/>
      </c>
    </row>
    <row r="151" spans="4:10">
      <c r="D151" s="145" t="str">
        <f t="shared" si="18"/>
        <v/>
      </c>
      <c r="E151" s="184" t="str">
        <f t="shared" si="19"/>
        <v/>
      </c>
      <c r="F151" s="185" t="str">
        <f t="shared" si="20"/>
        <v/>
      </c>
      <c r="G151" s="186" t="str">
        <f t="shared" si="14"/>
        <v/>
      </c>
      <c r="H151" s="187" t="str">
        <f t="shared" si="15"/>
        <v/>
      </c>
      <c r="I151" s="186" t="str">
        <f t="shared" si="16"/>
        <v/>
      </c>
      <c r="J151" s="185" t="str">
        <f t="shared" si="17"/>
        <v/>
      </c>
    </row>
    <row r="152" spans="4:10">
      <c r="D152" s="145" t="str">
        <f t="shared" si="18"/>
        <v/>
      </c>
      <c r="E152" s="184" t="str">
        <f t="shared" si="19"/>
        <v/>
      </c>
      <c r="F152" s="185" t="str">
        <f t="shared" si="20"/>
        <v/>
      </c>
      <c r="G152" s="186" t="str">
        <f t="shared" si="14"/>
        <v/>
      </c>
      <c r="H152" s="187" t="str">
        <f t="shared" si="15"/>
        <v/>
      </c>
      <c r="I152" s="186" t="str">
        <f t="shared" si="16"/>
        <v/>
      </c>
      <c r="J152" s="185" t="str">
        <f t="shared" si="17"/>
        <v/>
      </c>
    </row>
    <row r="153" spans="4:10">
      <c r="D153" s="145" t="str">
        <f t="shared" si="18"/>
        <v/>
      </c>
      <c r="E153" s="184" t="str">
        <f t="shared" si="19"/>
        <v/>
      </c>
      <c r="F153" s="185" t="str">
        <f t="shared" si="20"/>
        <v/>
      </c>
      <c r="G153" s="186" t="str">
        <f t="shared" si="14"/>
        <v/>
      </c>
      <c r="H153" s="187" t="str">
        <f t="shared" si="15"/>
        <v/>
      </c>
      <c r="I153" s="186" t="str">
        <f t="shared" si="16"/>
        <v/>
      </c>
      <c r="J153" s="185" t="str">
        <f t="shared" si="17"/>
        <v/>
      </c>
    </row>
    <row r="154" spans="4:10">
      <c r="D154" s="145" t="str">
        <f t="shared" si="18"/>
        <v/>
      </c>
      <c r="E154" s="184" t="str">
        <f t="shared" si="19"/>
        <v/>
      </c>
      <c r="F154" s="185" t="str">
        <f t="shared" si="20"/>
        <v/>
      </c>
      <c r="G154" s="186" t="str">
        <f t="shared" si="14"/>
        <v/>
      </c>
      <c r="H154" s="187" t="str">
        <f t="shared" si="15"/>
        <v/>
      </c>
      <c r="I154" s="186" t="str">
        <f t="shared" si="16"/>
        <v/>
      </c>
      <c r="J154" s="185" t="str">
        <f t="shared" si="17"/>
        <v/>
      </c>
    </row>
    <row r="155" spans="4:10">
      <c r="D155" s="145" t="str">
        <f t="shared" si="18"/>
        <v/>
      </c>
      <c r="E155" s="184" t="str">
        <f t="shared" si="19"/>
        <v/>
      </c>
      <c r="F155" s="185" t="str">
        <f t="shared" si="20"/>
        <v/>
      </c>
      <c r="G155" s="186" t="str">
        <f t="shared" si="14"/>
        <v/>
      </c>
      <c r="H155" s="187" t="str">
        <f t="shared" si="15"/>
        <v/>
      </c>
      <c r="I155" s="186" t="str">
        <f t="shared" si="16"/>
        <v/>
      </c>
      <c r="J155" s="185" t="str">
        <f t="shared" si="17"/>
        <v/>
      </c>
    </row>
    <row r="156" spans="4:10">
      <c r="D156" s="145" t="str">
        <f t="shared" si="18"/>
        <v/>
      </c>
      <c r="E156" s="184" t="str">
        <f t="shared" si="19"/>
        <v/>
      </c>
      <c r="F156" s="185" t="str">
        <f t="shared" si="20"/>
        <v/>
      </c>
      <c r="G156" s="186" t="str">
        <f t="shared" si="14"/>
        <v/>
      </c>
      <c r="H156" s="187" t="str">
        <f t="shared" si="15"/>
        <v/>
      </c>
      <c r="I156" s="186" t="str">
        <f t="shared" si="16"/>
        <v/>
      </c>
      <c r="J156" s="185" t="str">
        <f t="shared" si="17"/>
        <v/>
      </c>
    </row>
    <row r="157" spans="4:10">
      <c r="D157" s="145" t="str">
        <f t="shared" si="18"/>
        <v/>
      </c>
      <c r="E157" s="184" t="str">
        <f t="shared" si="19"/>
        <v/>
      </c>
      <c r="F157" s="185" t="str">
        <f t="shared" si="20"/>
        <v/>
      </c>
      <c r="G157" s="186" t="str">
        <f t="shared" si="14"/>
        <v/>
      </c>
      <c r="H157" s="187" t="str">
        <f t="shared" si="15"/>
        <v/>
      </c>
      <c r="I157" s="186" t="str">
        <f t="shared" si="16"/>
        <v/>
      </c>
      <c r="J157" s="185" t="str">
        <f t="shared" si="17"/>
        <v/>
      </c>
    </row>
    <row r="158" spans="4:10">
      <c r="D158" s="145" t="str">
        <f t="shared" si="18"/>
        <v/>
      </c>
      <c r="E158" s="184" t="str">
        <f t="shared" si="19"/>
        <v/>
      </c>
      <c r="F158" s="185" t="str">
        <f t="shared" si="20"/>
        <v/>
      </c>
      <c r="G158" s="186" t="str">
        <f t="shared" si="14"/>
        <v/>
      </c>
      <c r="H158" s="187" t="str">
        <f t="shared" si="15"/>
        <v/>
      </c>
      <c r="I158" s="186" t="str">
        <f t="shared" si="16"/>
        <v/>
      </c>
      <c r="J158" s="185" t="str">
        <f t="shared" si="17"/>
        <v/>
      </c>
    </row>
    <row r="159" spans="4:10">
      <c r="D159" s="145" t="str">
        <f t="shared" si="18"/>
        <v/>
      </c>
      <c r="E159" s="184" t="str">
        <f t="shared" si="19"/>
        <v/>
      </c>
      <c r="F159" s="185" t="str">
        <f t="shared" si="20"/>
        <v/>
      </c>
      <c r="G159" s="186" t="str">
        <f t="shared" si="14"/>
        <v/>
      </c>
      <c r="H159" s="187" t="str">
        <f t="shared" si="15"/>
        <v/>
      </c>
      <c r="I159" s="186" t="str">
        <f t="shared" si="16"/>
        <v/>
      </c>
      <c r="J159" s="185" t="str">
        <f t="shared" si="17"/>
        <v/>
      </c>
    </row>
    <row r="160" spans="4:10">
      <c r="D160" s="145" t="str">
        <f t="shared" si="18"/>
        <v/>
      </c>
      <c r="E160" s="184" t="str">
        <f t="shared" si="19"/>
        <v/>
      </c>
      <c r="F160" s="185" t="str">
        <f t="shared" si="20"/>
        <v/>
      </c>
      <c r="G160" s="186" t="str">
        <f t="shared" si="14"/>
        <v/>
      </c>
      <c r="H160" s="187" t="str">
        <f t="shared" si="15"/>
        <v/>
      </c>
      <c r="I160" s="186" t="str">
        <f t="shared" si="16"/>
        <v/>
      </c>
      <c r="J160" s="185" t="str">
        <f t="shared" si="17"/>
        <v/>
      </c>
    </row>
    <row r="161" spans="4:10">
      <c r="D161" s="145" t="str">
        <f t="shared" si="18"/>
        <v/>
      </c>
      <c r="E161" s="184" t="str">
        <f t="shared" si="19"/>
        <v/>
      </c>
      <c r="F161" s="185" t="str">
        <f t="shared" si="20"/>
        <v/>
      </c>
      <c r="G161" s="186" t="str">
        <f t="shared" si="14"/>
        <v/>
      </c>
      <c r="H161" s="187" t="str">
        <f t="shared" si="15"/>
        <v/>
      </c>
      <c r="I161" s="186" t="str">
        <f t="shared" si="16"/>
        <v/>
      </c>
      <c r="J161" s="185" t="str">
        <f t="shared" si="17"/>
        <v/>
      </c>
    </row>
    <row r="162" spans="4:10">
      <c r="D162" s="145" t="str">
        <f t="shared" si="18"/>
        <v/>
      </c>
      <c r="E162" s="184" t="str">
        <f t="shared" si="19"/>
        <v/>
      </c>
      <c r="F162" s="185" t="str">
        <f t="shared" si="20"/>
        <v/>
      </c>
      <c r="G162" s="186" t="str">
        <f t="shared" si="14"/>
        <v/>
      </c>
      <c r="H162" s="187" t="str">
        <f t="shared" si="15"/>
        <v/>
      </c>
      <c r="I162" s="186" t="str">
        <f t="shared" si="16"/>
        <v/>
      </c>
      <c r="J162" s="185" t="str">
        <f t="shared" si="17"/>
        <v/>
      </c>
    </row>
    <row r="163" spans="4:10">
      <c r="D163" s="145" t="str">
        <f t="shared" si="18"/>
        <v/>
      </c>
      <c r="E163" s="184" t="str">
        <f t="shared" si="19"/>
        <v/>
      </c>
      <c r="F163" s="185" t="str">
        <f t="shared" si="20"/>
        <v/>
      </c>
      <c r="G163" s="186" t="str">
        <f t="shared" si="14"/>
        <v/>
      </c>
      <c r="H163" s="187" t="str">
        <f t="shared" si="15"/>
        <v/>
      </c>
      <c r="I163" s="186" t="str">
        <f t="shared" si="16"/>
        <v/>
      </c>
      <c r="J163" s="185" t="str">
        <f t="shared" si="17"/>
        <v/>
      </c>
    </row>
    <row r="164" spans="4:10">
      <c r="D164" s="145" t="str">
        <f t="shared" si="18"/>
        <v/>
      </c>
      <c r="E164" s="184" t="str">
        <f t="shared" si="19"/>
        <v/>
      </c>
      <c r="F164" s="185" t="str">
        <f t="shared" si="20"/>
        <v/>
      </c>
      <c r="G164" s="186" t="str">
        <f t="shared" si="14"/>
        <v/>
      </c>
      <c r="H164" s="187" t="str">
        <f t="shared" si="15"/>
        <v/>
      </c>
      <c r="I164" s="186" t="str">
        <f t="shared" si="16"/>
        <v/>
      </c>
      <c r="J164" s="185" t="str">
        <f t="shared" si="17"/>
        <v/>
      </c>
    </row>
    <row r="165" spans="4:10">
      <c r="D165" s="145" t="str">
        <f t="shared" si="18"/>
        <v/>
      </c>
      <c r="E165" s="184" t="str">
        <f t="shared" si="19"/>
        <v/>
      </c>
      <c r="F165" s="185" t="str">
        <f t="shared" si="20"/>
        <v/>
      </c>
      <c r="G165" s="186" t="str">
        <f t="shared" si="14"/>
        <v/>
      </c>
      <c r="H165" s="187" t="str">
        <f t="shared" si="15"/>
        <v/>
      </c>
      <c r="I165" s="186" t="str">
        <f t="shared" si="16"/>
        <v/>
      </c>
      <c r="J165" s="185" t="str">
        <f t="shared" si="17"/>
        <v/>
      </c>
    </row>
    <row r="166" spans="4:10">
      <c r="D166" s="145" t="str">
        <f t="shared" si="18"/>
        <v/>
      </c>
      <c r="E166" s="184" t="str">
        <f t="shared" si="19"/>
        <v/>
      </c>
      <c r="F166" s="185" t="str">
        <f t="shared" si="20"/>
        <v/>
      </c>
      <c r="G166" s="186" t="str">
        <f t="shared" si="14"/>
        <v/>
      </c>
      <c r="H166" s="187" t="str">
        <f t="shared" si="15"/>
        <v/>
      </c>
      <c r="I166" s="186" t="str">
        <f t="shared" si="16"/>
        <v/>
      </c>
      <c r="J166" s="185" t="str">
        <f t="shared" si="17"/>
        <v/>
      </c>
    </row>
    <row r="167" spans="4:10">
      <c r="D167" s="145" t="str">
        <f t="shared" si="18"/>
        <v/>
      </c>
      <c r="E167" s="184" t="str">
        <f t="shared" si="19"/>
        <v/>
      </c>
      <c r="F167" s="185" t="str">
        <f t="shared" si="20"/>
        <v/>
      </c>
      <c r="G167" s="186" t="str">
        <f t="shared" si="14"/>
        <v/>
      </c>
      <c r="H167" s="187" t="str">
        <f t="shared" si="15"/>
        <v/>
      </c>
      <c r="I167" s="186" t="str">
        <f t="shared" si="16"/>
        <v/>
      </c>
      <c r="J167" s="185" t="str">
        <f t="shared" si="17"/>
        <v/>
      </c>
    </row>
    <row r="168" spans="4:10">
      <c r="D168" s="145" t="str">
        <f t="shared" si="18"/>
        <v/>
      </c>
      <c r="E168" s="184" t="str">
        <f t="shared" si="19"/>
        <v/>
      </c>
      <c r="F168" s="185" t="str">
        <f t="shared" si="20"/>
        <v/>
      </c>
      <c r="G168" s="186" t="str">
        <f t="shared" si="14"/>
        <v/>
      </c>
      <c r="H168" s="187" t="str">
        <f t="shared" si="15"/>
        <v/>
      </c>
      <c r="I168" s="186" t="str">
        <f t="shared" si="16"/>
        <v/>
      </c>
      <c r="J168" s="185" t="str">
        <f t="shared" si="17"/>
        <v/>
      </c>
    </row>
    <row r="169" spans="4:10">
      <c r="D169" s="145" t="str">
        <f t="shared" si="18"/>
        <v/>
      </c>
      <c r="E169" s="184" t="str">
        <f t="shared" si="19"/>
        <v/>
      </c>
      <c r="F169" s="185" t="str">
        <f t="shared" si="20"/>
        <v/>
      </c>
      <c r="G169" s="186" t="str">
        <f t="shared" si="14"/>
        <v/>
      </c>
      <c r="H169" s="187" t="str">
        <f t="shared" si="15"/>
        <v/>
      </c>
      <c r="I169" s="186" t="str">
        <f t="shared" si="16"/>
        <v/>
      </c>
      <c r="J169" s="185" t="str">
        <f t="shared" si="17"/>
        <v/>
      </c>
    </row>
    <row r="170" spans="4:10">
      <c r="D170" s="145" t="str">
        <f t="shared" si="18"/>
        <v/>
      </c>
      <c r="E170" s="184" t="str">
        <f t="shared" si="19"/>
        <v/>
      </c>
      <c r="F170" s="185" t="str">
        <f t="shared" si="20"/>
        <v/>
      </c>
      <c r="G170" s="186" t="str">
        <f t="shared" si="14"/>
        <v/>
      </c>
      <c r="H170" s="187" t="str">
        <f t="shared" si="15"/>
        <v/>
      </c>
      <c r="I170" s="186" t="str">
        <f t="shared" si="16"/>
        <v/>
      </c>
      <c r="J170" s="185" t="str">
        <f t="shared" si="17"/>
        <v/>
      </c>
    </row>
    <row r="171" spans="4:10">
      <c r="D171" s="145" t="str">
        <f t="shared" si="18"/>
        <v/>
      </c>
      <c r="E171" s="184" t="str">
        <f t="shared" si="19"/>
        <v/>
      </c>
      <c r="F171" s="185" t="str">
        <f t="shared" si="20"/>
        <v/>
      </c>
      <c r="G171" s="186" t="str">
        <f t="shared" si="14"/>
        <v/>
      </c>
      <c r="H171" s="187" t="str">
        <f t="shared" si="15"/>
        <v/>
      </c>
      <c r="I171" s="186" t="str">
        <f t="shared" si="16"/>
        <v/>
      </c>
      <c r="J171" s="185" t="str">
        <f t="shared" si="17"/>
        <v/>
      </c>
    </row>
    <row r="172" spans="4:10">
      <c r="D172" s="145" t="str">
        <f t="shared" si="18"/>
        <v/>
      </c>
      <c r="E172" s="184" t="str">
        <f t="shared" si="19"/>
        <v/>
      </c>
      <c r="F172" s="185" t="str">
        <f t="shared" si="20"/>
        <v/>
      </c>
      <c r="G172" s="186" t="str">
        <f t="shared" si="14"/>
        <v/>
      </c>
      <c r="H172" s="187" t="str">
        <f t="shared" si="15"/>
        <v/>
      </c>
      <c r="I172" s="186" t="str">
        <f t="shared" si="16"/>
        <v/>
      </c>
      <c r="J172" s="185" t="str">
        <f t="shared" si="17"/>
        <v/>
      </c>
    </row>
    <row r="173" spans="4:10">
      <c r="D173" s="145" t="str">
        <f t="shared" si="18"/>
        <v/>
      </c>
      <c r="E173" s="184" t="str">
        <f t="shared" si="19"/>
        <v/>
      </c>
      <c r="F173" s="185" t="str">
        <f t="shared" si="20"/>
        <v/>
      </c>
      <c r="G173" s="186" t="str">
        <f t="shared" si="14"/>
        <v/>
      </c>
      <c r="H173" s="187" t="str">
        <f t="shared" si="15"/>
        <v/>
      </c>
      <c r="I173" s="186" t="str">
        <f t="shared" si="16"/>
        <v/>
      </c>
      <c r="J173" s="185" t="str">
        <f t="shared" si="17"/>
        <v/>
      </c>
    </row>
    <row r="174" spans="4:10">
      <c r="D174" s="145" t="str">
        <f t="shared" si="18"/>
        <v/>
      </c>
      <c r="E174" s="184" t="str">
        <f t="shared" si="19"/>
        <v/>
      </c>
      <c r="F174" s="185" t="str">
        <f t="shared" si="20"/>
        <v/>
      </c>
      <c r="G174" s="186" t="str">
        <f t="shared" si="14"/>
        <v/>
      </c>
      <c r="H174" s="187" t="str">
        <f t="shared" si="15"/>
        <v/>
      </c>
      <c r="I174" s="186" t="str">
        <f t="shared" si="16"/>
        <v/>
      </c>
      <c r="J174" s="185" t="str">
        <f t="shared" si="17"/>
        <v/>
      </c>
    </row>
    <row r="175" spans="4:10">
      <c r="D175" s="145" t="str">
        <f t="shared" si="18"/>
        <v/>
      </c>
      <c r="E175" s="184" t="str">
        <f t="shared" si="19"/>
        <v/>
      </c>
      <c r="F175" s="185" t="str">
        <f t="shared" si="20"/>
        <v/>
      </c>
      <c r="G175" s="186" t="str">
        <f t="shared" si="14"/>
        <v/>
      </c>
      <c r="H175" s="187" t="str">
        <f t="shared" si="15"/>
        <v/>
      </c>
      <c r="I175" s="186" t="str">
        <f t="shared" si="16"/>
        <v/>
      </c>
      <c r="J175" s="185" t="str">
        <f t="shared" si="17"/>
        <v/>
      </c>
    </row>
    <row r="176" spans="4:10">
      <c r="D176" s="145" t="str">
        <f t="shared" si="18"/>
        <v/>
      </c>
      <c r="E176" s="184" t="str">
        <f t="shared" si="19"/>
        <v/>
      </c>
      <c r="F176" s="185" t="str">
        <f t="shared" si="20"/>
        <v/>
      </c>
      <c r="G176" s="186" t="str">
        <f t="shared" si="14"/>
        <v/>
      </c>
      <c r="H176" s="187" t="str">
        <f t="shared" si="15"/>
        <v/>
      </c>
      <c r="I176" s="186" t="str">
        <f t="shared" si="16"/>
        <v/>
      </c>
      <c r="J176" s="185" t="str">
        <f t="shared" si="17"/>
        <v/>
      </c>
    </row>
    <row r="177" spans="4:10">
      <c r="D177" s="145" t="str">
        <f t="shared" si="18"/>
        <v/>
      </c>
      <c r="E177" s="184" t="str">
        <f t="shared" si="19"/>
        <v/>
      </c>
      <c r="F177" s="185" t="str">
        <f t="shared" si="20"/>
        <v/>
      </c>
      <c r="G177" s="186" t="str">
        <f t="shared" si="14"/>
        <v/>
      </c>
      <c r="H177" s="187" t="str">
        <f t="shared" si="15"/>
        <v/>
      </c>
      <c r="I177" s="186" t="str">
        <f t="shared" si="16"/>
        <v/>
      </c>
      <c r="J177" s="185" t="str">
        <f t="shared" si="17"/>
        <v/>
      </c>
    </row>
    <row r="178" spans="4:10">
      <c r="D178" s="145" t="str">
        <f t="shared" si="18"/>
        <v/>
      </c>
      <c r="E178" s="184" t="str">
        <f t="shared" si="19"/>
        <v/>
      </c>
      <c r="F178" s="185" t="str">
        <f t="shared" si="20"/>
        <v/>
      </c>
      <c r="G178" s="186" t="str">
        <f t="shared" si="14"/>
        <v/>
      </c>
      <c r="H178" s="187" t="str">
        <f t="shared" si="15"/>
        <v/>
      </c>
      <c r="I178" s="186" t="str">
        <f t="shared" si="16"/>
        <v/>
      </c>
      <c r="J178" s="185" t="str">
        <f t="shared" si="17"/>
        <v/>
      </c>
    </row>
    <row r="179" spans="4:10">
      <c r="D179" s="145" t="str">
        <f t="shared" si="18"/>
        <v/>
      </c>
      <c r="E179" s="184" t="str">
        <f t="shared" si="19"/>
        <v/>
      </c>
      <c r="F179" s="185" t="str">
        <f t="shared" si="20"/>
        <v/>
      </c>
      <c r="G179" s="186" t="str">
        <f t="shared" si="14"/>
        <v/>
      </c>
      <c r="H179" s="187" t="str">
        <f t="shared" si="15"/>
        <v/>
      </c>
      <c r="I179" s="186" t="str">
        <f t="shared" si="16"/>
        <v/>
      </c>
      <c r="J179" s="185" t="str">
        <f t="shared" si="17"/>
        <v/>
      </c>
    </row>
    <row r="180" spans="4:10">
      <c r="D180" s="145" t="str">
        <f t="shared" si="18"/>
        <v/>
      </c>
      <c r="E180" s="184" t="str">
        <f t="shared" si="19"/>
        <v/>
      </c>
      <c r="F180" s="185" t="str">
        <f t="shared" si="20"/>
        <v/>
      </c>
      <c r="G180" s="186" t="str">
        <f t="shared" si="14"/>
        <v/>
      </c>
      <c r="H180" s="187" t="str">
        <f t="shared" si="15"/>
        <v/>
      </c>
      <c r="I180" s="186" t="str">
        <f t="shared" si="16"/>
        <v/>
      </c>
      <c r="J180" s="185" t="str">
        <f t="shared" si="17"/>
        <v/>
      </c>
    </row>
    <row r="181" spans="4:10">
      <c r="D181" s="145" t="str">
        <f t="shared" si="18"/>
        <v/>
      </c>
      <c r="E181" s="184" t="str">
        <f t="shared" si="19"/>
        <v/>
      </c>
      <c r="F181" s="185" t="str">
        <f t="shared" si="20"/>
        <v/>
      </c>
      <c r="G181" s="186" t="str">
        <f t="shared" si="14"/>
        <v/>
      </c>
      <c r="H181" s="187" t="str">
        <f t="shared" si="15"/>
        <v/>
      </c>
      <c r="I181" s="186" t="str">
        <f t="shared" si="16"/>
        <v/>
      </c>
      <c r="J181" s="185" t="str">
        <f t="shared" si="17"/>
        <v/>
      </c>
    </row>
    <row r="182" spans="4:10">
      <c r="D182" s="145" t="str">
        <f t="shared" si="18"/>
        <v/>
      </c>
      <c r="E182" s="184" t="str">
        <f t="shared" si="19"/>
        <v/>
      </c>
      <c r="F182" s="185" t="str">
        <f t="shared" si="20"/>
        <v/>
      </c>
      <c r="G182" s="186" t="str">
        <f t="shared" si="14"/>
        <v/>
      </c>
      <c r="H182" s="187" t="str">
        <f t="shared" si="15"/>
        <v/>
      </c>
      <c r="I182" s="186" t="str">
        <f t="shared" si="16"/>
        <v/>
      </c>
      <c r="J182" s="185" t="str">
        <f t="shared" si="17"/>
        <v/>
      </c>
    </row>
    <row r="183" spans="4:10">
      <c r="D183" s="145" t="str">
        <f t="shared" si="18"/>
        <v/>
      </c>
      <c r="E183" s="184" t="str">
        <f t="shared" si="19"/>
        <v/>
      </c>
      <c r="F183" s="185" t="str">
        <f t="shared" si="20"/>
        <v/>
      </c>
      <c r="G183" s="186" t="str">
        <f t="shared" si="14"/>
        <v/>
      </c>
      <c r="H183" s="187" t="str">
        <f t="shared" si="15"/>
        <v/>
      </c>
      <c r="I183" s="186" t="str">
        <f t="shared" si="16"/>
        <v/>
      </c>
      <c r="J183" s="185" t="str">
        <f t="shared" si="17"/>
        <v/>
      </c>
    </row>
    <row r="184" spans="4:10">
      <c r="D184" s="145" t="str">
        <f t="shared" si="18"/>
        <v/>
      </c>
      <c r="E184" s="184" t="str">
        <f t="shared" si="19"/>
        <v/>
      </c>
      <c r="F184" s="185" t="str">
        <f t="shared" si="20"/>
        <v/>
      </c>
      <c r="G184" s="186" t="str">
        <f t="shared" si="14"/>
        <v/>
      </c>
      <c r="H184" s="187" t="str">
        <f t="shared" si="15"/>
        <v/>
      </c>
      <c r="I184" s="186" t="str">
        <f t="shared" si="16"/>
        <v/>
      </c>
      <c r="J184" s="185" t="str">
        <f t="shared" si="17"/>
        <v/>
      </c>
    </row>
    <row r="185" spans="4:10">
      <c r="D185" s="145" t="str">
        <f t="shared" si="18"/>
        <v/>
      </c>
      <c r="E185" s="184" t="str">
        <f t="shared" si="19"/>
        <v/>
      </c>
      <c r="F185" s="185" t="str">
        <f t="shared" si="20"/>
        <v/>
      </c>
      <c r="G185" s="186" t="str">
        <f t="shared" si="14"/>
        <v/>
      </c>
      <c r="H185" s="187" t="str">
        <f t="shared" si="15"/>
        <v/>
      </c>
      <c r="I185" s="186" t="str">
        <f t="shared" si="16"/>
        <v/>
      </c>
      <c r="J185" s="185" t="str">
        <f t="shared" si="17"/>
        <v/>
      </c>
    </row>
    <row r="186" spans="4:10">
      <c r="D186" s="145" t="str">
        <f t="shared" si="18"/>
        <v/>
      </c>
      <c r="E186" s="184" t="str">
        <f t="shared" si="19"/>
        <v/>
      </c>
      <c r="F186" s="185" t="str">
        <f t="shared" si="20"/>
        <v/>
      </c>
      <c r="G186" s="186" t="str">
        <f t="shared" si="14"/>
        <v/>
      </c>
      <c r="H186" s="187" t="str">
        <f t="shared" si="15"/>
        <v/>
      </c>
      <c r="I186" s="186" t="str">
        <f t="shared" si="16"/>
        <v/>
      </c>
      <c r="J186" s="185" t="str">
        <f t="shared" si="17"/>
        <v/>
      </c>
    </row>
    <row r="187" spans="4:10">
      <c r="D187" s="145" t="str">
        <f t="shared" si="18"/>
        <v/>
      </c>
      <c r="E187" s="184" t="str">
        <f t="shared" si="19"/>
        <v/>
      </c>
      <c r="F187" s="185" t="str">
        <f t="shared" si="20"/>
        <v/>
      </c>
      <c r="G187" s="186" t="str">
        <f t="shared" si="14"/>
        <v/>
      </c>
      <c r="H187" s="187" t="str">
        <f t="shared" si="15"/>
        <v/>
      </c>
      <c r="I187" s="186" t="str">
        <f t="shared" si="16"/>
        <v/>
      </c>
      <c r="J187" s="185" t="str">
        <f t="shared" si="17"/>
        <v/>
      </c>
    </row>
    <row r="188" spans="4:10">
      <c r="D188" s="145" t="str">
        <f t="shared" si="18"/>
        <v/>
      </c>
      <c r="E188" s="184" t="str">
        <f t="shared" si="19"/>
        <v/>
      </c>
      <c r="F188" s="185" t="str">
        <f t="shared" si="20"/>
        <v/>
      </c>
      <c r="G188" s="186" t="str">
        <f t="shared" si="14"/>
        <v/>
      </c>
      <c r="H188" s="187" t="str">
        <f t="shared" si="15"/>
        <v/>
      </c>
      <c r="I188" s="186" t="str">
        <f t="shared" si="16"/>
        <v/>
      </c>
      <c r="J188" s="185" t="str">
        <f t="shared" si="17"/>
        <v/>
      </c>
    </row>
    <row r="189" spans="4:10">
      <c r="D189" s="145" t="str">
        <f t="shared" si="18"/>
        <v/>
      </c>
      <c r="E189" s="184" t="str">
        <f t="shared" si="19"/>
        <v/>
      </c>
      <c r="F189" s="185" t="str">
        <f t="shared" si="20"/>
        <v/>
      </c>
      <c r="G189" s="186" t="str">
        <f t="shared" si="14"/>
        <v/>
      </c>
      <c r="H189" s="187" t="str">
        <f t="shared" si="15"/>
        <v/>
      </c>
      <c r="I189" s="186" t="str">
        <f t="shared" si="16"/>
        <v/>
      </c>
      <c r="J189" s="185" t="str">
        <f t="shared" si="17"/>
        <v/>
      </c>
    </row>
    <row r="190" spans="4:10">
      <c r="D190" s="145" t="str">
        <f t="shared" si="18"/>
        <v/>
      </c>
      <c r="E190" s="184" t="str">
        <f t="shared" si="19"/>
        <v/>
      </c>
      <c r="F190" s="185" t="str">
        <f t="shared" si="20"/>
        <v/>
      </c>
      <c r="G190" s="186" t="str">
        <f t="shared" si="14"/>
        <v/>
      </c>
      <c r="H190" s="187" t="str">
        <f t="shared" si="15"/>
        <v/>
      </c>
      <c r="I190" s="186" t="str">
        <f t="shared" si="16"/>
        <v/>
      </c>
      <c r="J190" s="185" t="str">
        <f t="shared" si="17"/>
        <v/>
      </c>
    </row>
    <row r="191" spans="4:10">
      <c r="D191" s="145" t="str">
        <f t="shared" si="18"/>
        <v/>
      </c>
      <c r="E191" s="184" t="str">
        <f t="shared" si="19"/>
        <v/>
      </c>
      <c r="F191" s="185" t="str">
        <f t="shared" si="20"/>
        <v/>
      </c>
      <c r="G191" s="186" t="str">
        <f t="shared" si="14"/>
        <v/>
      </c>
      <c r="H191" s="187" t="str">
        <f t="shared" si="15"/>
        <v/>
      </c>
      <c r="I191" s="186" t="str">
        <f t="shared" si="16"/>
        <v/>
      </c>
      <c r="J191" s="185" t="str">
        <f t="shared" si="17"/>
        <v/>
      </c>
    </row>
    <row r="192" spans="4:10">
      <c r="D192" s="145" t="str">
        <f t="shared" si="18"/>
        <v/>
      </c>
      <c r="E192" s="184" t="str">
        <f t="shared" si="19"/>
        <v/>
      </c>
      <c r="F192" s="185" t="str">
        <f t="shared" si="20"/>
        <v/>
      </c>
      <c r="G192" s="186" t="str">
        <f t="shared" si="14"/>
        <v/>
      </c>
      <c r="H192" s="187" t="str">
        <f t="shared" si="15"/>
        <v/>
      </c>
      <c r="I192" s="186" t="str">
        <f t="shared" si="16"/>
        <v/>
      </c>
      <c r="J192" s="185" t="str">
        <f t="shared" si="17"/>
        <v/>
      </c>
    </row>
    <row r="193" spans="4:10">
      <c r="D193" s="145" t="str">
        <f t="shared" si="18"/>
        <v/>
      </c>
      <c r="E193" s="184" t="str">
        <f t="shared" si="19"/>
        <v/>
      </c>
      <c r="F193" s="185" t="str">
        <f t="shared" si="20"/>
        <v/>
      </c>
      <c r="G193" s="186" t="str">
        <f t="shared" si="14"/>
        <v/>
      </c>
      <c r="H193" s="187" t="str">
        <f t="shared" si="15"/>
        <v/>
      </c>
      <c r="I193" s="186" t="str">
        <f t="shared" si="16"/>
        <v/>
      </c>
      <c r="J193" s="185" t="str">
        <f t="shared" si="17"/>
        <v/>
      </c>
    </row>
    <row r="194" spans="4:10">
      <c r="D194" s="145" t="str">
        <f t="shared" si="18"/>
        <v/>
      </c>
      <c r="E194" s="184" t="str">
        <f t="shared" si="19"/>
        <v/>
      </c>
      <c r="F194" s="185" t="str">
        <f t="shared" si="20"/>
        <v/>
      </c>
      <c r="G194" s="186" t="str">
        <f t="shared" si="14"/>
        <v/>
      </c>
      <c r="H194" s="187" t="str">
        <f t="shared" si="15"/>
        <v/>
      </c>
      <c r="I194" s="186" t="str">
        <f t="shared" si="16"/>
        <v/>
      </c>
      <c r="J194" s="185" t="str">
        <f t="shared" si="17"/>
        <v/>
      </c>
    </row>
    <row r="195" spans="4:10">
      <c r="D195" s="145" t="str">
        <f t="shared" si="18"/>
        <v/>
      </c>
      <c r="E195" s="184" t="str">
        <f t="shared" si="19"/>
        <v/>
      </c>
      <c r="F195" s="185" t="str">
        <f t="shared" si="20"/>
        <v/>
      </c>
      <c r="G195" s="186" t="str">
        <f t="shared" si="14"/>
        <v/>
      </c>
      <c r="H195" s="187" t="str">
        <f t="shared" si="15"/>
        <v/>
      </c>
      <c r="I195" s="186" t="str">
        <f t="shared" si="16"/>
        <v/>
      </c>
      <c r="J195" s="185" t="str">
        <f t="shared" si="17"/>
        <v/>
      </c>
    </row>
    <row r="196" spans="4:10">
      <c r="D196" s="145" t="str">
        <f t="shared" si="18"/>
        <v/>
      </c>
      <c r="E196" s="184" t="str">
        <f t="shared" si="19"/>
        <v/>
      </c>
      <c r="F196" s="185" t="str">
        <f t="shared" si="20"/>
        <v/>
      </c>
      <c r="G196" s="186" t="str">
        <f t="shared" si="14"/>
        <v/>
      </c>
      <c r="H196" s="187" t="str">
        <f t="shared" si="15"/>
        <v/>
      </c>
      <c r="I196" s="186" t="str">
        <f t="shared" si="16"/>
        <v/>
      </c>
      <c r="J196" s="185" t="str">
        <f t="shared" si="17"/>
        <v/>
      </c>
    </row>
    <row r="197" spans="4:10">
      <c r="D197" s="145" t="str">
        <f t="shared" si="18"/>
        <v/>
      </c>
      <c r="E197" s="184" t="str">
        <f t="shared" si="19"/>
        <v/>
      </c>
      <c r="F197" s="185" t="str">
        <f t="shared" si="20"/>
        <v/>
      </c>
      <c r="G197" s="186" t="str">
        <f t="shared" si="14"/>
        <v/>
      </c>
      <c r="H197" s="187" t="str">
        <f t="shared" si="15"/>
        <v/>
      </c>
      <c r="I197" s="186" t="str">
        <f t="shared" si="16"/>
        <v/>
      </c>
      <c r="J197" s="185" t="str">
        <f t="shared" si="17"/>
        <v/>
      </c>
    </row>
    <row r="198" spans="4:10">
      <c r="D198" s="145" t="str">
        <f t="shared" si="18"/>
        <v/>
      </c>
      <c r="E198" s="184" t="str">
        <f t="shared" si="19"/>
        <v/>
      </c>
      <c r="F198" s="185" t="str">
        <f t="shared" si="20"/>
        <v/>
      </c>
      <c r="G198" s="186" t="str">
        <f t="shared" si="14"/>
        <v/>
      </c>
      <c r="H198" s="187" t="str">
        <f t="shared" si="15"/>
        <v/>
      </c>
      <c r="I198" s="186" t="str">
        <f t="shared" si="16"/>
        <v/>
      </c>
      <c r="J198" s="185" t="str">
        <f t="shared" si="17"/>
        <v/>
      </c>
    </row>
    <row r="199" spans="4:10">
      <c r="D199" s="145" t="str">
        <f t="shared" si="18"/>
        <v/>
      </c>
      <c r="E199" s="184" t="str">
        <f t="shared" si="19"/>
        <v/>
      </c>
      <c r="F199" s="185" t="str">
        <f t="shared" si="20"/>
        <v/>
      </c>
      <c r="G199" s="186" t="str">
        <f t="shared" si="14"/>
        <v/>
      </c>
      <c r="H199" s="187" t="str">
        <f t="shared" si="15"/>
        <v/>
      </c>
      <c r="I199" s="186" t="str">
        <f t="shared" si="16"/>
        <v/>
      </c>
      <c r="J199" s="185" t="str">
        <f t="shared" si="17"/>
        <v/>
      </c>
    </row>
    <row r="200" spans="4:10">
      <c r="D200" s="145" t="str">
        <f t="shared" si="18"/>
        <v/>
      </c>
      <c r="E200" s="184" t="str">
        <f t="shared" si="19"/>
        <v/>
      </c>
      <c r="F200" s="185" t="str">
        <f t="shared" si="20"/>
        <v/>
      </c>
      <c r="G200" s="186" t="str">
        <f t="shared" si="14"/>
        <v/>
      </c>
      <c r="H200" s="187" t="str">
        <f t="shared" si="15"/>
        <v/>
      </c>
      <c r="I200" s="186" t="str">
        <f t="shared" si="16"/>
        <v/>
      </c>
      <c r="J200" s="185" t="str">
        <f t="shared" si="17"/>
        <v/>
      </c>
    </row>
    <row r="201" spans="4:10">
      <c r="D201" s="145" t="str">
        <f t="shared" si="18"/>
        <v/>
      </c>
      <c r="E201" s="184" t="str">
        <f t="shared" si="19"/>
        <v/>
      </c>
      <c r="F201" s="185" t="str">
        <f t="shared" si="20"/>
        <v/>
      </c>
      <c r="G201" s="186" t="str">
        <f t="shared" si="14"/>
        <v/>
      </c>
      <c r="H201" s="187" t="str">
        <f t="shared" si="15"/>
        <v/>
      </c>
      <c r="I201" s="186" t="str">
        <f t="shared" si="16"/>
        <v/>
      </c>
      <c r="J201" s="185" t="str">
        <f t="shared" si="17"/>
        <v/>
      </c>
    </row>
    <row r="202" spans="4:10">
      <c r="D202" s="145" t="str">
        <f t="shared" si="18"/>
        <v/>
      </c>
      <c r="E202" s="184" t="str">
        <f t="shared" si="19"/>
        <v/>
      </c>
      <c r="F202" s="185" t="str">
        <f t="shared" si="20"/>
        <v/>
      </c>
      <c r="G202" s="186" t="str">
        <f t="shared" si="14"/>
        <v/>
      </c>
      <c r="H202" s="187" t="str">
        <f t="shared" si="15"/>
        <v/>
      </c>
      <c r="I202" s="186" t="str">
        <f t="shared" si="16"/>
        <v/>
      </c>
      <c r="J202" s="185" t="str">
        <f t="shared" si="17"/>
        <v/>
      </c>
    </row>
    <row r="203" spans="4:10">
      <c r="D203" s="145" t="str">
        <f t="shared" si="18"/>
        <v/>
      </c>
      <c r="E203" s="184" t="str">
        <f t="shared" si="19"/>
        <v/>
      </c>
      <c r="F203" s="185" t="str">
        <f t="shared" si="20"/>
        <v/>
      </c>
      <c r="G203" s="186" t="str">
        <f t="shared" si="14"/>
        <v/>
      </c>
      <c r="H203" s="187" t="str">
        <f t="shared" si="15"/>
        <v/>
      </c>
      <c r="I203" s="186" t="str">
        <f t="shared" si="16"/>
        <v/>
      </c>
      <c r="J203" s="185" t="str">
        <f t="shared" si="17"/>
        <v/>
      </c>
    </row>
    <row r="204" spans="4:10">
      <c r="D204" s="145" t="str">
        <f t="shared" si="18"/>
        <v/>
      </c>
      <c r="E204" s="184" t="str">
        <f t="shared" si="19"/>
        <v/>
      </c>
      <c r="F204" s="185" t="str">
        <f t="shared" si="20"/>
        <v/>
      </c>
      <c r="G204" s="186" t="str">
        <f t="shared" si="14"/>
        <v/>
      </c>
      <c r="H204" s="187" t="str">
        <f t="shared" si="15"/>
        <v/>
      </c>
      <c r="I204" s="186" t="str">
        <f t="shared" si="16"/>
        <v/>
      </c>
      <c r="J204" s="185" t="str">
        <f t="shared" si="17"/>
        <v/>
      </c>
    </row>
    <row r="205" spans="4:10">
      <c r="D205" s="145" t="str">
        <f t="shared" si="18"/>
        <v/>
      </c>
      <c r="E205" s="184" t="str">
        <f t="shared" si="19"/>
        <v/>
      </c>
      <c r="F205" s="185" t="str">
        <f t="shared" si="20"/>
        <v/>
      </c>
      <c r="G205" s="186" t="str">
        <f t="shared" si="14"/>
        <v/>
      </c>
      <c r="H205" s="187" t="str">
        <f t="shared" si="15"/>
        <v/>
      </c>
      <c r="I205" s="186" t="str">
        <f t="shared" si="16"/>
        <v/>
      </c>
      <c r="J205" s="185" t="str">
        <f t="shared" si="17"/>
        <v/>
      </c>
    </row>
    <row r="206" spans="4:10">
      <c r="D206" s="145" t="str">
        <f t="shared" si="18"/>
        <v/>
      </c>
      <c r="E206" s="184" t="str">
        <f t="shared" si="19"/>
        <v/>
      </c>
      <c r="F206" s="185" t="str">
        <f t="shared" si="20"/>
        <v/>
      </c>
      <c r="G206" s="186" t="str">
        <f t="shared" si="14"/>
        <v/>
      </c>
      <c r="H206" s="187" t="str">
        <f t="shared" si="15"/>
        <v/>
      </c>
      <c r="I206" s="186" t="str">
        <f t="shared" si="16"/>
        <v/>
      </c>
      <c r="J206" s="185" t="str">
        <f t="shared" si="17"/>
        <v/>
      </c>
    </row>
    <row r="207" spans="4:10">
      <c r="D207" s="145" t="str">
        <f t="shared" si="18"/>
        <v/>
      </c>
      <c r="E207" s="184" t="str">
        <f t="shared" si="19"/>
        <v/>
      </c>
      <c r="F207" s="185" t="str">
        <f t="shared" si="20"/>
        <v/>
      </c>
      <c r="G207" s="186" t="str">
        <f t="shared" si="14"/>
        <v/>
      </c>
      <c r="H207" s="187" t="str">
        <f t="shared" si="15"/>
        <v/>
      </c>
      <c r="I207" s="186" t="str">
        <f t="shared" si="16"/>
        <v/>
      </c>
      <c r="J207" s="185" t="str">
        <f t="shared" si="17"/>
        <v/>
      </c>
    </row>
    <row r="208" spans="4:10">
      <c r="D208" s="145" t="str">
        <f t="shared" si="18"/>
        <v/>
      </c>
      <c r="E208" s="184" t="str">
        <f t="shared" si="19"/>
        <v/>
      </c>
      <c r="F208" s="185" t="str">
        <f t="shared" si="20"/>
        <v/>
      </c>
      <c r="G208" s="186" t="str">
        <f t="shared" si="14"/>
        <v/>
      </c>
      <c r="H208" s="187" t="str">
        <f t="shared" si="15"/>
        <v/>
      </c>
      <c r="I208" s="186" t="str">
        <f t="shared" si="16"/>
        <v/>
      </c>
      <c r="J208" s="185" t="str">
        <f t="shared" si="17"/>
        <v/>
      </c>
    </row>
    <row r="209" spans="4:10">
      <c r="D209" s="145" t="str">
        <f t="shared" si="18"/>
        <v/>
      </c>
      <c r="E209" s="184" t="str">
        <f t="shared" si="19"/>
        <v/>
      </c>
      <c r="F209" s="185" t="str">
        <f t="shared" si="20"/>
        <v/>
      </c>
      <c r="G209" s="186" t="str">
        <f t="shared" si="14"/>
        <v/>
      </c>
      <c r="H209" s="187" t="str">
        <f t="shared" si="15"/>
        <v/>
      </c>
      <c r="I209" s="186" t="str">
        <f t="shared" si="16"/>
        <v/>
      </c>
      <c r="J209" s="185" t="str">
        <f t="shared" si="17"/>
        <v/>
      </c>
    </row>
    <row r="210" spans="4:10">
      <c r="D210" s="145" t="str">
        <f t="shared" si="18"/>
        <v/>
      </c>
      <c r="E210" s="184" t="str">
        <f t="shared" si="19"/>
        <v/>
      </c>
      <c r="F210" s="185" t="str">
        <f t="shared" si="20"/>
        <v/>
      </c>
      <c r="G210" s="186" t="str">
        <f t="shared" si="14"/>
        <v/>
      </c>
      <c r="H210" s="187" t="str">
        <f t="shared" si="15"/>
        <v/>
      </c>
      <c r="I210" s="186" t="str">
        <f t="shared" si="16"/>
        <v/>
      </c>
      <c r="J210" s="185" t="str">
        <f t="shared" si="17"/>
        <v/>
      </c>
    </row>
    <row r="211" spans="4:10">
      <c r="D211" s="145" t="str">
        <f t="shared" si="18"/>
        <v/>
      </c>
      <c r="E211" s="184" t="str">
        <f t="shared" si="19"/>
        <v/>
      </c>
      <c r="F211" s="185" t="str">
        <f t="shared" si="20"/>
        <v/>
      </c>
      <c r="G211" s="186" t="str">
        <f t="shared" ref="G211:G274" si="21">IF(D211="","",$C$13)</f>
        <v/>
      </c>
      <c r="H211" s="187" t="str">
        <f t="shared" ref="H211:H274" si="22">IF(D211="","",F211*$C$7/12)</f>
        <v/>
      </c>
      <c r="I211" s="186" t="str">
        <f t="shared" ref="I211:I274" si="23">IF(D211="","",G211-H211)</f>
        <v/>
      </c>
      <c r="J211" s="185" t="str">
        <f t="shared" ref="J211:J274" si="24">IF(D211="","",F211-I211)</f>
        <v/>
      </c>
    </row>
    <row r="212" spans="4:10">
      <c r="D212" s="145" t="str">
        <f t="shared" ref="D212:D275" si="25">IFERROR(IF(D211+1&lt;=$C$12,D211+1,""),"")</f>
        <v/>
      </c>
      <c r="E212" s="184" t="str">
        <f t="shared" ref="E212:E275" si="26">IF(D212="","",EOMONTH(E211,1))</f>
        <v/>
      </c>
      <c r="F212" s="185" t="str">
        <f t="shared" ref="F212:F275" si="27">IF(D212="","",J211)</f>
        <v/>
      </c>
      <c r="G212" s="186" t="str">
        <f t="shared" si="21"/>
        <v/>
      </c>
      <c r="H212" s="187" t="str">
        <f t="shared" si="22"/>
        <v/>
      </c>
      <c r="I212" s="186" t="str">
        <f t="shared" si="23"/>
        <v/>
      </c>
      <c r="J212" s="185" t="str">
        <f t="shared" si="24"/>
        <v/>
      </c>
    </row>
    <row r="213" spans="4:10">
      <c r="D213" s="145" t="str">
        <f t="shared" si="25"/>
        <v/>
      </c>
      <c r="E213" s="184" t="str">
        <f t="shared" si="26"/>
        <v/>
      </c>
      <c r="F213" s="185" t="str">
        <f t="shared" si="27"/>
        <v/>
      </c>
      <c r="G213" s="186" t="str">
        <f t="shared" si="21"/>
        <v/>
      </c>
      <c r="H213" s="187" t="str">
        <f t="shared" si="22"/>
        <v/>
      </c>
      <c r="I213" s="186" t="str">
        <f t="shared" si="23"/>
        <v/>
      </c>
      <c r="J213" s="185" t="str">
        <f t="shared" si="24"/>
        <v/>
      </c>
    </row>
    <row r="214" spans="4:10">
      <c r="D214" s="145" t="str">
        <f t="shared" si="25"/>
        <v/>
      </c>
      <c r="E214" s="184" t="str">
        <f t="shared" si="26"/>
        <v/>
      </c>
      <c r="F214" s="185" t="str">
        <f t="shared" si="27"/>
        <v/>
      </c>
      <c r="G214" s="186" t="str">
        <f t="shared" si="21"/>
        <v/>
      </c>
      <c r="H214" s="187" t="str">
        <f t="shared" si="22"/>
        <v/>
      </c>
      <c r="I214" s="186" t="str">
        <f t="shared" si="23"/>
        <v/>
      </c>
      <c r="J214" s="185" t="str">
        <f t="shared" si="24"/>
        <v/>
      </c>
    </row>
    <row r="215" spans="4:10">
      <c r="D215" s="145" t="str">
        <f t="shared" si="25"/>
        <v/>
      </c>
      <c r="E215" s="184" t="str">
        <f t="shared" si="26"/>
        <v/>
      </c>
      <c r="F215" s="185" t="str">
        <f t="shared" si="27"/>
        <v/>
      </c>
      <c r="G215" s="186" t="str">
        <f t="shared" si="21"/>
        <v/>
      </c>
      <c r="H215" s="187" t="str">
        <f t="shared" si="22"/>
        <v/>
      </c>
      <c r="I215" s="186" t="str">
        <f t="shared" si="23"/>
        <v/>
      </c>
      <c r="J215" s="185" t="str">
        <f t="shared" si="24"/>
        <v/>
      </c>
    </row>
    <row r="216" spans="4:10">
      <c r="D216" s="145" t="str">
        <f t="shared" si="25"/>
        <v/>
      </c>
      <c r="E216" s="184" t="str">
        <f t="shared" si="26"/>
        <v/>
      </c>
      <c r="F216" s="185" t="str">
        <f t="shared" si="27"/>
        <v/>
      </c>
      <c r="G216" s="186" t="str">
        <f t="shared" si="21"/>
        <v/>
      </c>
      <c r="H216" s="187" t="str">
        <f t="shared" si="22"/>
        <v/>
      </c>
      <c r="I216" s="186" t="str">
        <f t="shared" si="23"/>
        <v/>
      </c>
      <c r="J216" s="185" t="str">
        <f t="shared" si="24"/>
        <v/>
      </c>
    </row>
    <row r="217" spans="4:10">
      <c r="D217" s="145" t="str">
        <f t="shared" si="25"/>
        <v/>
      </c>
      <c r="E217" s="184" t="str">
        <f t="shared" si="26"/>
        <v/>
      </c>
      <c r="F217" s="185" t="str">
        <f t="shared" si="27"/>
        <v/>
      </c>
      <c r="G217" s="186" t="str">
        <f t="shared" si="21"/>
        <v/>
      </c>
      <c r="H217" s="187" t="str">
        <f t="shared" si="22"/>
        <v/>
      </c>
      <c r="I217" s="186" t="str">
        <f t="shared" si="23"/>
        <v/>
      </c>
      <c r="J217" s="185" t="str">
        <f t="shared" si="24"/>
        <v/>
      </c>
    </row>
    <row r="218" spans="4:10">
      <c r="D218" s="145" t="str">
        <f t="shared" si="25"/>
        <v/>
      </c>
      <c r="E218" s="184" t="str">
        <f t="shared" si="26"/>
        <v/>
      </c>
      <c r="F218" s="185" t="str">
        <f t="shared" si="27"/>
        <v/>
      </c>
      <c r="G218" s="186" t="str">
        <f t="shared" si="21"/>
        <v/>
      </c>
      <c r="H218" s="187" t="str">
        <f t="shared" si="22"/>
        <v/>
      </c>
      <c r="I218" s="186" t="str">
        <f t="shared" si="23"/>
        <v/>
      </c>
      <c r="J218" s="185" t="str">
        <f t="shared" si="24"/>
        <v/>
      </c>
    </row>
    <row r="219" spans="4:10">
      <c r="D219" s="145" t="str">
        <f t="shared" si="25"/>
        <v/>
      </c>
      <c r="E219" s="184" t="str">
        <f t="shared" si="26"/>
        <v/>
      </c>
      <c r="F219" s="185" t="str">
        <f t="shared" si="27"/>
        <v/>
      </c>
      <c r="G219" s="186" t="str">
        <f t="shared" si="21"/>
        <v/>
      </c>
      <c r="H219" s="187" t="str">
        <f t="shared" si="22"/>
        <v/>
      </c>
      <c r="I219" s="186" t="str">
        <f t="shared" si="23"/>
        <v/>
      </c>
      <c r="J219" s="185" t="str">
        <f t="shared" si="24"/>
        <v/>
      </c>
    </row>
    <row r="220" spans="4:10">
      <c r="D220" s="145" t="str">
        <f t="shared" si="25"/>
        <v/>
      </c>
      <c r="E220" s="184" t="str">
        <f t="shared" si="26"/>
        <v/>
      </c>
      <c r="F220" s="185" t="str">
        <f t="shared" si="27"/>
        <v/>
      </c>
      <c r="G220" s="186" t="str">
        <f t="shared" si="21"/>
        <v/>
      </c>
      <c r="H220" s="187" t="str">
        <f t="shared" si="22"/>
        <v/>
      </c>
      <c r="I220" s="186" t="str">
        <f t="shared" si="23"/>
        <v/>
      </c>
      <c r="J220" s="185" t="str">
        <f t="shared" si="24"/>
        <v/>
      </c>
    </row>
    <row r="221" spans="4:10">
      <c r="D221" s="145" t="str">
        <f t="shared" si="25"/>
        <v/>
      </c>
      <c r="E221" s="184" t="str">
        <f t="shared" si="26"/>
        <v/>
      </c>
      <c r="F221" s="185" t="str">
        <f t="shared" si="27"/>
        <v/>
      </c>
      <c r="G221" s="186" t="str">
        <f t="shared" si="21"/>
        <v/>
      </c>
      <c r="H221" s="187" t="str">
        <f t="shared" si="22"/>
        <v/>
      </c>
      <c r="I221" s="186" t="str">
        <f t="shared" si="23"/>
        <v/>
      </c>
      <c r="J221" s="185" t="str">
        <f t="shared" si="24"/>
        <v/>
      </c>
    </row>
    <row r="222" spans="4:10">
      <c r="D222" s="145" t="str">
        <f t="shared" si="25"/>
        <v/>
      </c>
      <c r="E222" s="184" t="str">
        <f t="shared" si="26"/>
        <v/>
      </c>
      <c r="F222" s="185" t="str">
        <f t="shared" si="27"/>
        <v/>
      </c>
      <c r="G222" s="186" t="str">
        <f t="shared" si="21"/>
        <v/>
      </c>
      <c r="H222" s="187" t="str">
        <f t="shared" si="22"/>
        <v/>
      </c>
      <c r="I222" s="186" t="str">
        <f t="shared" si="23"/>
        <v/>
      </c>
      <c r="J222" s="185" t="str">
        <f t="shared" si="24"/>
        <v/>
      </c>
    </row>
    <row r="223" spans="4:10">
      <c r="D223" s="145" t="str">
        <f t="shared" si="25"/>
        <v/>
      </c>
      <c r="E223" s="184" t="str">
        <f t="shared" si="26"/>
        <v/>
      </c>
      <c r="F223" s="185" t="str">
        <f t="shared" si="27"/>
        <v/>
      </c>
      <c r="G223" s="186" t="str">
        <f t="shared" si="21"/>
        <v/>
      </c>
      <c r="H223" s="187" t="str">
        <f t="shared" si="22"/>
        <v/>
      </c>
      <c r="I223" s="186" t="str">
        <f t="shared" si="23"/>
        <v/>
      </c>
      <c r="J223" s="185" t="str">
        <f t="shared" si="24"/>
        <v/>
      </c>
    </row>
    <row r="224" spans="4:10">
      <c r="D224" s="145" t="str">
        <f t="shared" si="25"/>
        <v/>
      </c>
      <c r="E224" s="184" t="str">
        <f t="shared" si="26"/>
        <v/>
      </c>
      <c r="F224" s="185" t="str">
        <f t="shared" si="27"/>
        <v/>
      </c>
      <c r="G224" s="186" t="str">
        <f t="shared" si="21"/>
        <v/>
      </c>
      <c r="H224" s="187" t="str">
        <f t="shared" si="22"/>
        <v/>
      </c>
      <c r="I224" s="186" t="str">
        <f t="shared" si="23"/>
        <v/>
      </c>
      <c r="J224" s="185" t="str">
        <f t="shared" si="24"/>
        <v/>
      </c>
    </row>
    <row r="225" spans="4:10">
      <c r="D225" s="145" t="str">
        <f t="shared" si="25"/>
        <v/>
      </c>
      <c r="E225" s="184" t="str">
        <f t="shared" si="26"/>
        <v/>
      </c>
      <c r="F225" s="185" t="str">
        <f t="shared" si="27"/>
        <v/>
      </c>
      <c r="G225" s="186" t="str">
        <f t="shared" si="21"/>
        <v/>
      </c>
      <c r="H225" s="187" t="str">
        <f t="shared" si="22"/>
        <v/>
      </c>
      <c r="I225" s="186" t="str">
        <f t="shared" si="23"/>
        <v/>
      </c>
      <c r="J225" s="185" t="str">
        <f t="shared" si="24"/>
        <v/>
      </c>
    </row>
    <row r="226" spans="4:10">
      <c r="D226" s="145" t="str">
        <f t="shared" si="25"/>
        <v/>
      </c>
      <c r="E226" s="184" t="str">
        <f t="shared" si="26"/>
        <v/>
      </c>
      <c r="F226" s="185" t="str">
        <f t="shared" si="27"/>
        <v/>
      </c>
      <c r="G226" s="186" t="str">
        <f t="shared" si="21"/>
        <v/>
      </c>
      <c r="H226" s="187" t="str">
        <f t="shared" si="22"/>
        <v/>
      </c>
      <c r="I226" s="186" t="str">
        <f t="shared" si="23"/>
        <v/>
      </c>
      <c r="J226" s="185" t="str">
        <f t="shared" si="24"/>
        <v/>
      </c>
    </row>
    <row r="227" spans="4:10">
      <c r="D227" s="145" t="str">
        <f t="shared" si="25"/>
        <v/>
      </c>
      <c r="E227" s="184" t="str">
        <f t="shared" si="26"/>
        <v/>
      </c>
      <c r="F227" s="185" t="str">
        <f t="shared" si="27"/>
        <v/>
      </c>
      <c r="G227" s="186" t="str">
        <f t="shared" si="21"/>
        <v/>
      </c>
      <c r="H227" s="187" t="str">
        <f t="shared" si="22"/>
        <v/>
      </c>
      <c r="I227" s="186" t="str">
        <f t="shared" si="23"/>
        <v/>
      </c>
      <c r="J227" s="185" t="str">
        <f t="shared" si="24"/>
        <v/>
      </c>
    </row>
    <row r="228" spans="4:10">
      <c r="D228" s="145" t="str">
        <f t="shared" si="25"/>
        <v/>
      </c>
      <c r="E228" s="184" t="str">
        <f t="shared" si="26"/>
        <v/>
      </c>
      <c r="F228" s="185" t="str">
        <f t="shared" si="27"/>
        <v/>
      </c>
      <c r="G228" s="186" t="str">
        <f t="shared" si="21"/>
        <v/>
      </c>
      <c r="H228" s="187" t="str">
        <f t="shared" si="22"/>
        <v/>
      </c>
      <c r="I228" s="186" t="str">
        <f t="shared" si="23"/>
        <v/>
      </c>
      <c r="J228" s="185" t="str">
        <f t="shared" si="24"/>
        <v/>
      </c>
    </row>
    <row r="229" spans="4:10">
      <c r="D229" s="145" t="str">
        <f t="shared" si="25"/>
        <v/>
      </c>
      <c r="E229" s="184" t="str">
        <f t="shared" si="26"/>
        <v/>
      </c>
      <c r="F229" s="185" t="str">
        <f t="shared" si="27"/>
        <v/>
      </c>
      <c r="G229" s="186" t="str">
        <f t="shared" si="21"/>
        <v/>
      </c>
      <c r="H229" s="187" t="str">
        <f t="shared" si="22"/>
        <v/>
      </c>
      <c r="I229" s="186" t="str">
        <f t="shared" si="23"/>
        <v/>
      </c>
      <c r="J229" s="185" t="str">
        <f t="shared" si="24"/>
        <v/>
      </c>
    </row>
    <row r="230" spans="4:10">
      <c r="D230" s="145" t="str">
        <f t="shared" si="25"/>
        <v/>
      </c>
      <c r="E230" s="184" t="str">
        <f t="shared" si="26"/>
        <v/>
      </c>
      <c r="F230" s="185" t="str">
        <f t="shared" si="27"/>
        <v/>
      </c>
      <c r="G230" s="186" t="str">
        <f t="shared" si="21"/>
        <v/>
      </c>
      <c r="H230" s="187" t="str">
        <f t="shared" si="22"/>
        <v/>
      </c>
      <c r="I230" s="186" t="str">
        <f t="shared" si="23"/>
        <v/>
      </c>
      <c r="J230" s="185" t="str">
        <f t="shared" si="24"/>
        <v/>
      </c>
    </row>
    <row r="231" spans="4:10">
      <c r="D231" s="145" t="str">
        <f t="shared" si="25"/>
        <v/>
      </c>
      <c r="E231" s="184" t="str">
        <f t="shared" si="26"/>
        <v/>
      </c>
      <c r="F231" s="185" t="str">
        <f t="shared" si="27"/>
        <v/>
      </c>
      <c r="G231" s="186" t="str">
        <f t="shared" si="21"/>
        <v/>
      </c>
      <c r="H231" s="187" t="str">
        <f t="shared" si="22"/>
        <v/>
      </c>
      <c r="I231" s="186" t="str">
        <f t="shared" si="23"/>
        <v/>
      </c>
      <c r="J231" s="185" t="str">
        <f t="shared" si="24"/>
        <v/>
      </c>
    </row>
    <row r="232" spans="4:10">
      <c r="D232" s="145" t="str">
        <f t="shared" si="25"/>
        <v/>
      </c>
      <c r="E232" s="184" t="str">
        <f t="shared" si="26"/>
        <v/>
      </c>
      <c r="F232" s="185" t="str">
        <f t="shared" si="27"/>
        <v/>
      </c>
      <c r="G232" s="186" t="str">
        <f t="shared" si="21"/>
        <v/>
      </c>
      <c r="H232" s="187" t="str">
        <f t="shared" si="22"/>
        <v/>
      </c>
      <c r="I232" s="186" t="str">
        <f t="shared" si="23"/>
        <v/>
      </c>
      <c r="J232" s="185" t="str">
        <f t="shared" si="24"/>
        <v/>
      </c>
    </row>
    <row r="233" spans="4:10">
      <c r="D233" s="145" t="str">
        <f t="shared" si="25"/>
        <v/>
      </c>
      <c r="E233" s="184" t="str">
        <f t="shared" si="26"/>
        <v/>
      </c>
      <c r="F233" s="185" t="str">
        <f t="shared" si="27"/>
        <v/>
      </c>
      <c r="G233" s="186" t="str">
        <f t="shared" si="21"/>
        <v/>
      </c>
      <c r="H233" s="187" t="str">
        <f t="shared" si="22"/>
        <v/>
      </c>
      <c r="I233" s="186" t="str">
        <f t="shared" si="23"/>
        <v/>
      </c>
      <c r="J233" s="185" t="str">
        <f t="shared" si="24"/>
        <v/>
      </c>
    </row>
    <row r="234" spans="4:10">
      <c r="D234" s="145" t="str">
        <f t="shared" si="25"/>
        <v/>
      </c>
      <c r="E234" s="184" t="str">
        <f t="shared" si="26"/>
        <v/>
      </c>
      <c r="F234" s="185" t="str">
        <f t="shared" si="27"/>
        <v/>
      </c>
      <c r="G234" s="186" t="str">
        <f t="shared" si="21"/>
        <v/>
      </c>
      <c r="H234" s="187" t="str">
        <f t="shared" si="22"/>
        <v/>
      </c>
      <c r="I234" s="186" t="str">
        <f t="shared" si="23"/>
        <v/>
      </c>
      <c r="J234" s="185" t="str">
        <f t="shared" si="24"/>
        <v/>
      </c>
    </row>
    <row r="235" spans="4:10">
      <c r="D235" s="145" t="str">
        <f t="shared" si="25"/>
        <v/>
      </c>
      <c r="E235" s="184" t="str">
        <f t="shared" si="26"/>
        <v/>
      </c>
      <c r="F235" s="185" t="str">
        <f t="shared" si="27"/>
        <v/>
      </c>
      <c r="G235" s="186" t="str">
        <f t="shared" si="21"/>
        <v/>
      </c>
      <c r="H235" s="187" t="str">
        <f t="shared" si="22"/>
        <v/>
      </c>
      <c r="I235" s="186" t="str">
        <f t="shared" si="23"/>
        <v/>
      </c>
      <c r="J235" s="185" t="str">
        <f t="shared" si="24"/>
        <v/>
      </c>
    </row>
    <row r="236" spans="4:10">
      <c r="D236" s="145" t="str">
        <f t="shared" si="25"/>
        <v/>
      </c>
      <c r="E236" s="184" t="str">
        <f t="shared" si="26"/>
        <v/>
      </c>
      <c r="F236" s="185" t="str">
        <f t="shared" si="27"/>
        <v/>
      </c>
      <c r="G236" s="186" t="str">
        <f t="shared" si="21"/>
        <v/>
      </c>
      <c r="H236" s="187" t="str">
        <f t="shared" si="22"/>
        <v/>
      </c>
      <c r="I236" s="186" t="str">
        <f t="shared" si="23"/>
        <v/>
      </c>
      <c r="J236" s="185" t="str">
        <f t="shared" si="24"/>
        <v/>
      </c>
    </row>
    <row r="237" spans="4:10">
      <c r="D237" s="145" t="str">
        <f t="shared" si="25"/>
        <v/>
      </c>
      <c r="E237" s="184" t="str">
        <f t="shared" si="26"/>
        <v/>
      </c>
      <c r="F237" s="185" t="str">
        <f t="shared" si="27"/>
        <v/>
      </c>
      <c r="G237" s="186" t="str">
        <f t="shared" si="21"/>
        <v/>
      </c>
      <c r="H237" s="187" t="str">
        <f t="shared" si="22"/>
        <v/>
      </c>
      <c r="I237" s="186" t="str">
        <f t="shared" si="23"/>
        <v/>
      </c>
      <c r="J237" s="185" t="str">
        <f t="shared" si="24"/>
        <v/>
      </c>
    </row>
    <row r="238" spans="4:10">
      <c r="D238" s="145" t="str">
        <f t="shared" si="25"/>
        <v/>
      </c>
      <c r="E238" s="184" t="str">
        <f t="shared" si="26"/>
        <v/>
      </c>
      <c r="F238" s="185" t="str">
        <f t="shared" si="27"/>
        <v/>
      </c>
      <c r="G238" s="186" t="str">
        <f t="shared" si="21"/>
        <v/>
      </c>
      <c r="H238" s="187" t="str">
        <f t="shared" si="22"/>
        <v/>
      </c>
      <c r="I238" s="186" t="str">
        <f t="shared" si="23"/>
        <v/>
      </c>
      <c r="J238" s="185" t="str">
        <f t="shared" si="24"/>
        <v/>
      </c>
    </row>
    <row r="239" spans="4:10">
      <c r="D239" s="145" t="str">
        <f t="shared" si="25"/>
        <v/>
      </c>
      <c r="E239" s="184" t="str">
        <f t="shared" si="26"/>
        <v/>
      </c>
      <c r="F239" s="185" t="str">
        <f t="shared" si="27"/>
        <v/>
      </c>
      <c r="G239" s="186" t="str">
        <f t="shared" si="21"/>
        <v/>
      </c>
      <c r="H239" s="187" t="str">
        <f t="shared" si="22"/>
        <v/>
      </c>
      <c r="I239" s="186" t="str">
        <f t="shared" si="23"/>
        <v/>
      </c>
      <c r="J239" s="185" t="str">
        <f t="shared" si="24"/>
        <v/>
      </c>
    </row>
    <row r="240" spans="4:10">
      <c r="D240" s="145" t="str">
        <f t="shared" si="25"/>
        <v/>
      </c>
      <c r="E240" s="184" t="str">
        <f t="shared" si="26"/>
        <v/>
      </c>
      <c r="F240" s="185" t="str">
        <f t="shared" si="27"/>
        <v/>
      </c>
      <c r="G240" s="186" t="str">
        <f t="shared" si="21"/>
        <v/>
      </c>
      <c r="H240" s="187" t="str">
        <f t="shared" si="22"/>
        <v/>
      </c>
      <c r="I240" s="186" t="str">
        <f t="shared" si="23"/>
        <v/>
      </c>
      <c r="J240" s="185" t="str">
        <f t="shared" si="24"/>
        <v/>
      </c>
    </row>
    <row r="241" spans="4:10">
      <c r="D241" s="145" t="str">
        <f t="shared" si="25"/>
        <v/>
      </c>
      <c r="E241" s="184" t="str">
        <f t="shared" si="26"/>
        <v/>
      </c>
      <c r="F241" s="185" t="str">
        <f t="shared" si="27"/>
        <v/>
      </c>
      <c r="G241" s="186" t="str">
        <f t="shared" si="21"/>
        <v/>
      </c>
      <c r="H241" s="187" t="str">
        <f t="shared" si="22"/>
        <v/>
      </c>
      <c r="I241" s="186" t="str">
        <f t="shared" si="23"/>
        <v/>
      </c>
      <c r="J241" s="185" t="str">
        <f t="shared" si="24"/>
        <v/>
      </c>
    </row>
    <row r="242" spans="4:10">
      <c r="D242" s="145" t="str">
        <f t="shared" si="25"/>
        <v/>
      </c>
      <c r="E242" s="184" t="str">
        <f t="shared" si="26"/>
        <v/>
      </c>
      <c r="F242" s="185" t="str">
        <f t="shared" si="27"/>
        <v/>
      </c>
      <c r="G242" s="186" t="str">
        <f t="shared" si="21"/>
        <v/>
      </c>
      <c r="H242" s="187" t="str">
        <f t="shared" si="22"/>
        <v/>
      </c>
      <c r="I242" s="186" t="str">
        <f t="shared" si="23"/>
        <v/>
      </c>
      <c r="J242" s="185" t="str">
        <f t="shared" si="24"/>
        <v/>
      </c>
    </row>
    <row r="243" spans="4:10">
      <c r="D243" s="145" t="str">
        <f t="shared" si="25"/>
        <v/>
      </c>
      <c r="E243" s="184" t="str">
        <f t="shared" si="26"/>
        <v/>
      </c>
      <c r="F243" s="185" t="str">
        <f t="shared" si="27"/>
        <v/>
      </c>
      <c r="G243" s="186" t="str">
        <f t="shared" si="21"/>
        <v/>
      </c>
      <c r="H243" s="187" t="str">
        <f t="shared" si="22"/>
        <v/>
      </c>
      <c r="I243" s="186" t="str">
        <f t="shared" si="23"/>
        <v/>
      </c>
      <c r="J243" s="185" t="str">
        <f t="shared" si="24"/>
        <v/>
      </c>
    </row>
    <row r="244" spans="4:10">
      <c r="D244" s="145" t="str">
        <f t="shared" si="25"/>
        <v/>
      </c>
      <c r="E244" s="184" t="str">
        <f t="shared" si="26"/>
        <v/>
      </c>
      <c r="F244" s="185" t="str">
        <f t="shared" si="27"/>
        <v/>
      </c>
      <c r="G244" s="186" t="str">
        <f t="shared" si="21"/>
        <v/>
      </c>
      <c r="H244" s="187" t="str">
        <f t="shared" si="22"/>
        <v/>
      </c>
      <c r="I244" s="186" t="str">
        <f t="shared" si="23"/>
        <v/>
      </c>
      <c r="J244" s="185" t="str">
        <f t="shared" si="24"/>
        <v/>
      </c>
    </row>
    <row r="245" spans="4:10">
      <c r="D245" s="145" t="str">
        <f t="shared" si="25"/>
        <v/>
      </c>
      <c r="E245" s="184" t="str">
        <f t="shared" si="26"/>
        <v/>
      </c>
      <c r="F245" s="185" t="str">
        <f t="shared" si="27"/>
        <v/>
      </c>
      <c r="G245" s="186" t="str">
        <f t="shared" si="21"/>
        <v/>
      </c>
      <c r="H245" s="187" t="str">
        <f t="shared" si="22"/>
        <v/>
      </c>
      <c r="I245" s="186" t="str">
        <f t="shared" si="23"/>
        <v/>
      </c>
      <c r="J245" s="185" t="str">
        <f t="shared" si="24"/>
        <v/>
      </c>
    </row>
    <row r="246" spans="4:10">
      <c r="D246" s="145" t="str">
        <f t="shared" si="25"/>
        <v/>
      </c>
      <c r="E246" s="184" t="str">
        <f t="shared" si="26"/>
        <v/>
      </c>
      <c r="F246" s="185" t="str">
        <f t="shared" si="27"/>
        <v/>
      </c>
      <c r="G246" s="186" t="str">
        <f t="shared" si="21"/>
        <v/>
      </c>
      <c r="H246" s="187" t="str">
        <f t="shared" si="22"/>
        <v/>
      </c>
      <c r="I246" s="186" t="str">
        <f t="shared" si="23"/>
        <v/>
      </c>
      <c r="J246" s="185" t="str">
        <f t="shared" si="24"/>
        <v/>
      </c>
    </row>
    <row r="247" spans="4:10">
      <c r="D247" s="145" t="str">
        <f t="shared" si="25"/>
        <v/>
      </c>
      <c r="E247" s="184" t="str">
        <f t="shared" si="26"/>
        <v/>
      </c>
      <c r="F247" s="185" t="str">
        <f t="shared" si="27"/>
        <v/>
      </c>
      <c r="G247" s="186" t="str">
        <f t="shared" si="21"/>
        <v/>
      </c>
      <c r="H247" s="187" t="str">
        <f t="shared" si="22"/>
        <v/>
      </c>
      <c r="I247" s="186" t="str">
        <f t="shared" si="23"/>
        <v/>
      </c>
      <c r="J247" s="185" t="str">
        <f t="shared" si="24"/>
        <v/>
      </c>
    </row>
    <row r="248" spans="4:10">
      <c r="D248" s="145" t="str">
        <f t="shared" si="25"/>
        <v/>
      </c>
      <c r="E248" s="184" t="str">
        <f t="shared" si="26"/>
        <v/>
      </c>
      <c r="F248" s="185" t="str">
        <f t="shared" si="27"/>
        <v/>
      </c>
      <c r="G248" s="186" t="str">
        <f t="shared" si="21"/>
        <v/>
      </c>
      <c r="H248" s="187" t="str">
        <f t="shared" si="22"/>
        <v/>
      </c>
      <c r="I248" s="186" t="str">
        <f t="shared" si="23"/>
        <v/>
      </c>
      <c r="J248" s="185" t="str">
        <f t="shared" si="24"/>
        <v/>
      </c>
    </row>
    <row r="249" spans="4:10">
      <c r="D249" s="145" t="str">
        <f t="shared" si="25"/>
        <v/>
      </c>
      <c r="E249" s="184" t="str">
        <f t="shared" si="26"/>
        <v/>
      </c>
      <c r="F249" s="185" t="str">
        <f t="shared" si="27"/>
        <v/>
      </c>
      <c r="G249" s="186" t="str">
        <f t="shared" si="21"/>
        <v/>
      </c>
      <c r="H249" s="187" t="str">
        <f t="shared" si="22"/>
        <v/>
      </c>
      <c r="I249" s="186" t="str">
        <f t="shared" si="23"/>
        <v/>
      </c>
      <c r="J249" s="185" t="str">
        <f t="shared" si="24"/>
        <v/>
      </c>
    </row>
    <row r="250" spans="4:10">
      <c r="D250" s="145" t="str">
        <f t="shared" si="25"/>
        <v/>
      </c>
      <c r="E250" s="184" t="str">
        <f t="shared" si="26"/>
        <v/>
      </c>
      <c r="F250" s="185" t="str">
        <f t="shared" si="27"/>
        <v/>
      </c>
      <c r="G250" s="186" t="str">
        <f t="shared" si="21"/>
        <v/>
      </c>
      <c r="H250" s="187" t="str">
        <f t="shared" si="22"/>
        <v/>
      </c>
      <c r="I250" s="186" t="str">
        <f t="shared" si="23"/>
        <v/>
      </c>
      <c r="J250" s="185" t="str">
        <f t="shared" si="24"/>
        <v/>
      </c>
    </row>
    <row r="251" spans="4:10">
      <c r="D251" s="145" t="str">
        <f t="shared" si="25"/>
        <v/>
      </c>
      <c r="E251" s="184" t="str">
        <f t="shared" si="26"/>
        <v/>
      </c>
      <c r="F251" s="185" t="str">
        <f t="shared" si="27"/>
        <v/>
      </c>
      <c r="G251" s="186" t="str">
        <f t="shared" si="21"/>
        <v/>
      </c>
      <c r="H251" s="187" t="str">
        <f t="shared" si="22"/>
        <v/>
      </c>
      <c r="I251" s="186" t="str">
        <f t="shared" si="23"/>
        <v/>
      </c>
      <c r="J251" s="185" t="str">
        <f t="shared" si="24"/>
        <v/>
      </c>
    </row>
    <row r="252" spans="4:10">
      <c r="D252" s="145" t="str">
        <f t="shared" si="25"/>
        <v/>
      </c>
      <c r="E252" s="184" t="str">
        <f t="shared" si="26"/>
        <v/>
      </c>
      <c r="F252" s="185" t="str">
        <f t="shared" si="27"/>
        <v/>
      </c>
      <c r="G252" s="186" t="str">
        <f t="shared" si="21"/>
        <v/>
      </c>
      <c r="H252" s="187" t="str">
        <f t="shared" si="22"/>
        <v/>
      </c>
      <c r="I252" s="186" t="str">
        <f t="shared" si="23"/>
        <v/>
      </c>
      <c r="J252" s="185" t="str">
        <f t="shared" si="24"/>
        <v/>
      </c>
    </row>
    <row r="253" spans="4:10">
      <c r="D253" s="145" t="str">
        <f t="shared" si="25"/>
        <v/>
      </c>
      <c r="E253" s="184" t="str">
        <f t="shared" si="26"/>
        <v/>
      </c>
      <c r="F253" s="185" t="str">
        <f t="shared" si="27"/>
        <v/>
      </c>
      <c r="G253" s="186" t="str">
        <f t="shared" si="21"/>
        <v/>
      </c>
      <c r="H253" s="187" t="str">
        <f t="shared" si="22"/>
        <v/>
      </c>
      <c r="I253" s="186" t="str">
        <f t="shared" si="23"/>
        <v/>
      </c>
      <c r="J253" s="185" t="str">
        <f t="shared" si="24"/>
        <v/>
      </c>
    </row>
    <row r="254" spans="4:10">
      <c r="D254" s="145" t="str">
        <f t="shared" si="25"/>
        <v/>
      </c>
      <c r="E254" s="184" t="str">
        <f t="shared" si="26"/>
        <v/>
      </c>
      <c r="F254" s="185" t="str">
        <f t="shared" si="27"/>
        <v/>
      </c>
      <c r="G254" s="186" t="str">
        <f t="shared" si="21"/>
        <v/>
      </c>
      <c r="H254" s="187" t="str">
        <f t="shared" si="22"/>
        <v/>
      </c>
      <c r="I254" s="186" t="str">
        <f t="shared" si="23"/>
        <v/>
      </c>
      <c r="J254" s="185" t="str">
        <f t="shared" si="24"/>
        <v/>
      </c>
    </row>
    <row r="255" spans="4:10">
      <c r="D255" s="145" t="str">
        <f t="shared" si="25"/>
        <v/>
      </c>
      <c r="E255" s="184" t="str">
        <f t="shared" si="26"/>
        <v/>
      </c>
      <c r="F255" s="185" t="str">
        <f t="shared" si="27"/>
        <v/>
      </c>
      <c r="G255" s="186" t="str">
        <f t="shared" si="21"/>
        <v/>
      </c>
      <c r="H255" s="187" t="str">
        <f t="shared" si="22"/>
        <v/>
      </c>
      <c r="I255" s="186" t="str">
        <f t="shared" si="23"/>
        <v/>
      </c>
      <c r="J255" s="185" t="str">
        <f t="shared" si="24"/>
        <v/>
      </c>
    </row>
    <row r="256" spans="4:10">
      <c r="D256" s="145" t="str">
        <f t="shared" si="25"/>
        <v/>
      </c>
      <c r="E256" s="184" t="str">
        <f t="shared" si="26"/>
        <v/>
      </c>
      <c r="F256" s="185" t="str">
        <f t="shared" si="27"/>
        <v/>
      </c>
      <c r="G256" s="186" t="str">
        <f t="shared" si="21"/>
        <v/>
      </c>
      <c r="H256" s="187" t="str">
        <f t="shared" si="22"/>
        <v/>
      </c>
      <c r="I256" s="186" t="str">
        <f t="shared" si="23"/>
        <v/>
      </c>
      <c r="J256" s="185" t="str">
        <f t="shared" si="24"/>
        <v/>
      </c>
    </row>
    <row r="257" spans="4:10">
      <c r="D257" s="145" t="str">
        <f t="shared" si="25"/>
        <v/>
      </c>
      <c r="E257" s="184" t="str">
        <f t="shared" si="26"/>
        <v/>
      </c>
      <c r="F257" s="185" t="str">
        <f t="shared" si="27"/>
        <v/>
      </c>
      <c r="G257" s="186" t="str">
        <f t="shared" si="21"/>
        <v/>
      </c>
      <c r="H257" s="187" t="str">
        <f t="shared" si="22"/>
        <v/>
      </c>
      <c r="I257" s="186" t="str">
        <f t="shared" si="23"/>
        <v/>
      </c>
      <c r="J257" s="185" t="str">
        <f t="shared" si="24"/>
        <v/>
      </c>
    </row>
    <row r="258" spans="4:10">
      <c r="D258" s="145" t="str">
        <f t="shared" si="25"/>
        <v/>
      </c>
      <c r="E258" s="184" t="str">
        <f t="shared" si="26"/>
        <v/>
      </c>
      <c r="F258" s="185" t="str">
        <f t="shared" si="27"/>
        <v/>
      </c>
      <c r="G258" s="186" t="str">
        <f t="shared" si="21"/>
        <v/>
      </c>
      <c r="H258" s="187" t="str">
        <f t="shared" si="22"/>
        <v/>
      </c>
      <c r="I258" s="186" t="str">
        <f t="shared" si="23"/>
        <v/>
      </c>
      <c r="J258" s="185" t="str">
        <f t="shared" si="24"/>
        <v/>
      </c>
    </row>
    <row r="259" spans="4:10">
      <c r="D259" s="145" t="str">
        <f t="shared" si="25"/>
        <v/>
      </c>
      <c r="E259" s="184" t="str">
        <f t="shared" si="26"/>
        <v/>
      </c>
      <c r="F259" s="185" t="str">
        <f t="shared" si="27"/>
        <v/>
      </c>
      <c r="G259" s="186" t="str">
        <f t="shared" si="21"/>
        <v/>
      </c>
      <c r="H259" s="187" t="str">
        <f t="shared" si="22"/>
        <v/>
      </c>
      <c r="I259" s="186" t="str">
        <f t="shared" si="23"/>
        <v/>
      </c>
      <c r="J259" s="185" t="str">
        <f t="shared" si="24"/>
        <v/>
      </c>
    </row>
    <row r="260" spans="4:10">
      <c r="D260" s="145" t="str">
        <f t="shared" si="25"/>
        <v/>
      </c>
      <c r="E260" s="184" t="str">
        <f t="shared" si="26"/>
        <v/>
      </c>
      <c r="F260" s="185" t="str">
        <f t="shared" si="27"/>
        <v/>
      </c>
      <c r="G260" s="186" t="str">
        <f t="shared" si="21"/>
        <v/>
      </c>
      <c r="H260" s="187" t="str">
        <f t="shared" si="22"/>
        <v/>
      </c>
      <c r="I260" s="186" t="str">
        <f t="shared" si="23"/>
        <v/>
      </c>
      <c r="J260" s="185" t="str">
        <f t="shared" si="24"/>
        <v/>
      </c>
    </row>
    <row r="261" spans="4:10">
      <c r="D261" s="145" t="str">
        <f t="shared" si="25"/>
        <v/>
      </c>
      <c r="E261" s="184" t="str">
        <f t="shared" si="26"/>
        <v/>
      </c>
      <c r="F261" s="185" t="str">
        <f t="shared" si="27"/>
        <v/>
      </c>
      <c r="G261" s="186" t="str">
        <f t="shared" si="21"/>
        <v/>
      </c>
      <c r="H261" s="187" t="str">
        <f t="shared" si="22"/>
        <v/>
      </c>
      <c r="I261" s="186" t="str">
        <f t="shared" si="23"/>
        <v/>
      </c>
      <c r="J261" s="185" t="str">
        <f t="shared" si="24"/>
        <v/>
      </c>
    </row>
    <row r="262" spans="4:10">
      <c r="D262" s="145" t="str">
        <f t="shared" si="25"/>
        <v/>
      </c>
      <c r="E262" s="184" t="str">
        <f t="shared" si="26"/>
        <v/>
      </c>
      <c r="F262" s="185" t="str">
        <f t="shared" si="27"/>
        <v/>
      </c>
      <c r="G262" s="186" t="str">
        <f t="shared" si="21"/>
        <v/>
      </c>
      <c r="H262" s="187" t="str">
        <f t="shared" si="22"/>
        <v/>
      </c>
      <c r="I262" s="186" t="str">
        <f t="shared" si="23"/>
        <v/>
      </c>
      <c r="J262" s="185" t="str">
        <f t="shared" si="24"/>
        <v/>
      </c>
    </row>
    <row r="263" spans="4:10">
      <c r="D263" s="145" t="str">
        <f t="shared" si="25"/>
        <v/>
      </c>
      <c r="E263" s="184" t="str">
        <f t="shared" si="26"/>
        <v/>
      </c>
      <c r="F263" s="185" t="str">
        <f t="shared" si="27"/>
        <v/>
      </c>
      <c r="G263" s="186" t="str">
        <f t="shared" si="21"/>
        <v/>
      </c>
      <c r="H263" s="187" t="str">
        <f t="shared" si="22"/>
        <v/>
      </c>
      <c r="I263" s="186" t="str">
        <f t="shared" si="23"/>
        <v/>
      </c>
      <c r="J263" s="185" t="str">
        <f t="shared" si="24"/>
        <v/>
      </c>
    </row>
    <row r="264" spans="4:10">
      <c r="D264" s="145" t="str">
        <f t="shared" si="25"/>
        <v/>
      </c>
      <c r="E264" s="184" t="str">
        <f t="shared" si="26"/>
        <v/>
      </c>
      <c r="F264" s="185" t="str">
        <f t="shared" si="27"/>
        <v/>
      </c>
      <c r="G264" s="186" t="str">
        <f t="shared" si="21"/>
        <v/>
      </c>
      <c r="H264" s="187" t="str">
        <f t="shared" si="22"/>
        <v/>
      </c>
      <c r="I264" s="186" t="str">
        <f t="shared" si="23"/>
        <v/>
      </c>
      <c r="J264" s="185" t="str">
        <f t="shared" si="24"/>
        <v/>
      </c>
    </row>
    <row r="265" spans="4:10">
      <c r="D265" s="145" t="str">
        <f t="shared" si="25"/>
        <v/>
      </c>
      <c r="E265" s="184" t="str">
        <f t="shared" si="26"/>
        <v/>
      </c>
      <c r="F265" s="185" t="str">
        <f t="shared" si="27"/>
        <v/>
      </c>
      <c r="G265" s="186" t="str">
        <f t="shared" si="21"/>
        <v/>
      </c>
      <c r="H265" s="187" t="str">
        <f t="shared" si="22"/>
        <v/>
      </c>
      <c r="I265" s="186" t="str">
        <f t="shared" si="23"/>
        <v/>
      </c>
      <c r="J265" s="185" t="str">
        <f t="shared" si="24"/>
        <v/>
      </c>
    </row>
    <row r="266" spans="4:10">
      <c r="D266" s="145" t="str">
        <f t="shared" si="25"/>
        <v/>
      </c>
      <c r="E266" s="184" t="str">
        <f t="shared" si="26"/>
        <v/>
      </c>
      <c r="F266" s="185" t="str">
        <f t="shared" si="27"/>
        <v/>
      </c>
      <c r="G266" s="186" t="str">
        <f t="shared" si="21"/>
        <v/>
      </c>
      <c r="H266" s="187" t="str">
        <f t="shared" si="22"/>
        <v/>
      </c>
      <c r="I266" s="186" t="str">
        <f t="shared" si="23"/>
        <v/>
      </c>
      <c r="J266" s="185" t="str">
        <f t="shared" si="24"/>
        <v/>
      </c>
    </row>
    <row r="267" spans="4:10">
      <c r="D267" s="145" t="str">
        <f t="shared" si="25"/>
        <v/>
      </c>
      <c r="E267" s="184" t="str">
        <f t="shared" si="26"/>
        <v/>
      </c>
      <c r="F267" s="185" t="str">
        <f t="shared" si="27"/>
        <v/>
      </c>
      <c r="G267" s="186" t="str">
        <f t="shared" si="21"/>
        <v/>
      </c>
      <c r="H267" s="187" t="str">
        <f t="shared" si="22"/>
        <v/>
      </c>
      <c r="I267" s="186" t="str">
        <f t="shared" si="23"/>
        <v/>
      </c>
      <c r="J267" s="185" t="str">
        <f t="shared" si="24"/>
        <v/>
      </c>
    </row>
    <row r="268" spans="4:10">
      <c r="D268" s="145" t="str">
        <f t="shared" si="25"/>
        <v/>
      </c>
      <c r="E268" s="184" t="str">
        <f t="shared" si="26"/>
        <v/>
      </c>
      <c r="F268" s="185" t="str">
        <f t="shared" si="27"/>
        <v/>
      </c>
      <c r="G268" s="186" t="str">
        <f t="shared" si="21"/>
        <v/>
      </c>
      <c r="H268" s="187" t="str">
        <f t="shared" si="22"/>
        <v/>
      </c>
      <c r="I268" s="186" t="str">
        <f t="shared" si="23"/>
        <v/>
      </c>
      <c r="J268" s="185" t="str">
        <f t="shared" si="24"/>
        <v/>
      </c>
    </row>
    <row r="269" spans="4:10">
      <c r="D269" s="145" t="str">
        <f t="shared" si="25"/>
        <v/>
      </c>
      <c r="E269" s="184" t="str">
        <f t="shared" si="26"/>
        <v/>
      </c>
      <c r="F269" s="185" t="str">
        <f t="shared" si="27"/>
        <v/>
      </c>
      <c r="G269" s="186" t="str">
        <f t="shared" si="21"/>
        <v/>
      </c>
      <c r="H269" s="187" t="str">
        <f t="shared" si="22"/>
        <v/>
      </c>
      <c r="I269" s="186" t="str">
        <f t="shared" si="23"/>
        <v/>
      </c>
      <c r="J269" s="185" t="str">
        <f t="shared" si="24"/>
        <v/>
      </c>
    </row>
    <row r="270" spans="4:10">
      <c r="D270" s="145" t="str">
        <f t="shared" si="25"/>
        <v/>
      </c>
      <c r="E270" s="184" t="str">
        <f t="shared" si="26"/>
        <v/>
      </c>
      <c r="F270" s="185" t="str">
        <f t="shared" si="27"/>
        <v/>
      </c>
      <c r="G270" s="186" t="str">
        <f t="shared" si="21"/>
        <v/>
      </c>
      <c r="H270" s="187" t="str">
        <f t="shared" si="22"/>
        <v/>
      </c>
      <c r="I270" s="186" t="str">
        <f t="shared" si="23"/>
        <v/>
      </c>
      <c r="J270" s="185" t="str">
        <f t="shared" si="24"/>
        <v/>
      </c>
    </row>
    <row r="271" spans="4:10">
      <c r="D271" s="145" t="str">
        <f t="shared" si="25"/>
        <v/>
      </c>
      <c r="E271" s="184" t="str">
        <f t="shared" si="26"/>
        <v/>
      </c>
      <c r="F271" s="185" t="str">
        <f t="shared" si="27"/>
        <v/>
      </c>
      <c r="G271" s="186" t="str">
        <f t="shared" si="21"/>
        <v/>
      </c>
      <c r="H271" s="187" t="str">
        <f t="shared" si="22"/>
        <v/>
      </c>
      <c r="I271" s="186" t="str">
        <f t="shared" si="23"/>
        <v/>
      </c>
      <c r="J271" s="185" t="str">
        <f t="shared" si="24"/>
        <v/>
      </c>
    </row>
    <row r="272" spans="4:10">
      <c r="D272" s="145" t="str">
        <f t="shared" si="25"/>
        <v/>
      </c>
      <c r="E272" s="184" t="str">
        <f t="shared" si="26"/>
        <v/>
      </c>
      <c r="F272" s="185" t="str">
        <f t="shared" si="27"/>
        <v/>
      </c>
      <c r="G272" s="186" t="str">
        <f t="shared" si="21"/>
        <v/>
      </c>
      <c r="H272" s="187" t="str">
        <f t="shared" si="22"/>
        <v/>
      </c>
      <c r="I272" s="186" t="str">
        <f t="shared" si="23"/>
        <v/>
      </c>
      <c r="J272" s="185" t="str">
        <f t="shared" si="24"/>
        <v/>
      </c>
    </row>
    <row r="273" spans="4:10">
      <c r="D273" s="145" t="str">
        <f t="shared" si="25"/>
        <v/>
      </c>
      <c r="E273" s="184" t="str">
        <f t="shared" si="26"/>
        <v/>
      </c>
      <c r="F273" s="185" t="str">
        <f t="shared" si="27"/>
        <v/>
      </c>
      <c r="G273" s="186" t="str">
        <f t="shared" si="21"/>
        <v/>
      </c>
      <c r="H273" s="187" t="str">
        <f t="shared" si="22"/>
        <v/>
      </c>
      <c r="I273" s="186" t="str">
        <f t="shared" si="23"/>
        <v/>
      </c>
      <c r="J273" s="185" t="str">
        <f t="shared" si="24"/>
        <v/>
      </c>
    </row>
    <row r="274" spans="4:10">
      <c r="D274" s="145" t="str">
        <f t="shared" si="25"/>
        <v/>
      </c>
      <c r="E274" s="184" t="str">
        <f t="shared" si="26"/>
        <v/>
      </c>
      <c r="F274" s="185" t="str">
        <f t="shared" si="27"/>
        <v/>
      </c>
      <c r="G274" s="186" t="str">
        <f t="shared" si="21"/>
        <v/>
      </c>
      <c r="H274" s="187" t="str">
        <f t="shared" si="22"/>
        <v/>
      </c>
      <c r="I274" s="186" t="str">
        <f t="shared" si="23"/>
        <v/>
      </c>
      <c r="J274" s="185" t="str">
        <f t="shared" si="24"/>
        <v/>
      </c>
    </row>
    <row r="275" spans="4:10">
      <c r="D275" s="145" t="str">
        <f t="shared" si="25"/>
        <v/>
      </c>
      <c r="E275" s="184" t="str">
        <f t="shared" si="26"/>
        <v/>
      </c>
      <c r="F275" s="185" t="str">
        <f t="shared" si="27"/>
        <v/>
      </c>
      <c r="G275" s="186" t="str">
        <f t="shared" ref="G275:G319" si="28">IF(D275="","",$C$13)</f>
        <v/>
      </c>
      <c r="H275" s="187" t="str">
        <f t="shared" ref="H275:H319" si="29">IF(D275="","",F275*$C$7/12)</f>
        <v/>
      </c>
      <c r="I275" s="186" t="str">
        <f t="shared" ref="I275:I319" si="30">IF(D275="","",G275-H275)</f>
        <v/>
      </c>
      <c r="J275" s="185" t="str">
        <f t="shared" ref="J275:J319" si="31">IF(D275="","",F275-I275)</f>
        <v/>
      </c>
    </row>
    <row r="276" spans="4:10">
      <c r="D276" s="145" t="str">
        <f t="shared" ref="D276:D302" si="32">IFERROR(IF(D275+1&lt;=$C$12,D275+1,""),"")</f>
        <v/>
      </c>
      <c r="E276" s="184" t="str">
        <f t="shared" ref="E276:E319" si="33">IF(D276="","",EOMONTH(E275,1))</f>
        <v/>
      </c>
      <c r="F276" s="185" t="str">
        <f t="shared" ref="F276:F319" si="34">IF(D276="","",J275)</f>
        <v/>
      </c>
      <c r="G276" s="186" t="str">
        <f t="shared" si="28"/>
        <v/>
      </c>
      <c r="H276" s="187" t="str">
        <f t="shared" si="29"/>
        <v/>
      </c>
      <c r="I276" s="186" t="str">
        <f t="shared" si="30"/>
        <v/>
      </c>
      <c r="J276" s="185" t="str">
        <f t="shared" si="31"/>
        <v/>
      </c>
    </row>
    <row r="277" spans="4:10">
      <c r="D277" s="145" t="str">
        <f t="shared" si="32"/>
        <v/>
      </c>
      <c r="E277" s="184" t="str">
        <f t="shared" si="33"/>
        <v/>
      </c>
      <c r="F277" s="185" t="str">
        <f t="shared" si="34"/>
        <v/>
      </c>
      <c r="G277" s="186" t="str">
        <f t="shared" si="28"/>
        <v/>
      </c>
      <c r="H277" s="187" t="str">
        <f t="shared" si="29"/>
        <v/>
      </c>
      <c r="I277" s="186" t="str">
        <f t="shared" si="30"/>
        <v/>
      </c>
      <c r="J277" s="185" t="str">
        <f t="shared" si="31"/>
        <v/>
      </c>
    </row>
    <row r="278" spans="4:10">
      <c r="D278" s="145" t="str">
        <f t="shared" si="32"/>
        <v/>
      </c>
      <c r="E278" s="184" t="str">
        <f t="shared" si="33"/>
        <v/>
      </c>
      <c r="F278" s="185" t="str">
        <f t="shared" si="34"/>
        <v/>
      </c>
      <c r="G278" s="186" t="str">
        <f t="shared" si="28"/>
        <v/>
      </c>
      <c r="H278" s="187" t="str">
        <f t="shared" si="29"/>
        <v/>
      </c>
      <c r="I278" s="186" t="str">
        <f t="shared" si="30"/>
        <v/>
      </c>
      <c r="J278" s="185" t="str">
        <f t="shared" si="31"/>
        <v/>
      </c>
    </row>
    <row r="279" spans="4:10">
      <c r="D279" s="145" t="str">
        <f t="shared" si="32"/>
        <v/>
      </c>
      <c r="E279" s="184" t="str">
        <f t="shared" si="33"/>
        <v/>
      </c>
      <c r="F279" s="185" t="str">
        <f t="shared" si="34"/>
        <v/>
      </c>
      <c r="G279" s="186" t="str">
        <f t="shared" si="28"/>
        <v/>
      </c>
      <c r="H279" s="187" t="str">
        <f t="shared" si="29"/>
        <v/>
      </c>
      <c r="I279" s="186" t="str">
        <f t="shared" si="30"/>
        <v/>
      </c>
      <c r="J279" s="185" t="str">
        <f t="shared" si="31"/>
        <v/>
      </c>
    </row>
    <row r="280" spans="4:10">
      <c r="D280" s="145" t="str">
        <f t="shared" si="32"/>
        <v/>
      </c>
      <c r="E280" s="184" t="str">
        <f t="shared" si="33"/>
        <v/>
      </c>
      <c r="F280" s="185" t="str">
        <f t="shared" si="34"/>
        <v/>
      </c>
      <c r="G280" s="186" t="str">
        <f t="shared" si="28"/>
        <v/>
      </c>
      <c r="H280" s="187" t="str">
        <f t="shared" si="29"/>
        <v/>
      </c>
      <c r="I280" s="186" t="str">
        <f t="shared" si="30"/>
        <v/>
      </c>
      <c r="J280" s="185" t="str">
        <f t="shared" si="31"/>
        <v/>
      </c>
    </row>
    <row r="281" spans="4:10">
      <c r="D281" s="145" t="str">
        <f t="shared" si="32"/>
        <v/>
      </c>
      <c r="E281" s="184" t="str">
        <f t="shared" si="33"/>
        <v/>
      </c>
      <c r="F281" s="185" t="str">
        <f t="shared" si="34"/>
        <v/>
      </c>
      <c r="G281" s="186" t="str">
        <f t="shared" si="28"/>
        <v/>
      </c>
      <c r="H281" s="187" t="str">
        <f t="shared" si="29"/>
        <v/>
      </c>
      <c r="I281" s="186" t="str">
        <f t="shared" si="30"/>
        <v/>
      </c>
      <c r="J281" s="185" t="str">
        <f t="shared" si="31"/>
        <v/>
      </c>
    </row>
    <row r="282" spans="4:10">
      <c r="D282" s="145" t="str">
        <f t="shared" si="32"/>
        <v/>
      </c>
      <c r="E282" s="184" t="str">
        <f t="shared" si="33"/>
        <v/>
      </c>
      <c r="F282" s="185" t="str">
        <f t="shared" si="34"/>
        <v/>
      </c>
      <c r="G282" s="186" t="str">
        <f t="shared" si="28"/>
        <v/>
      </c>
      <c r="H282" s="187" t="str">
        <f t="shared" si="29"/>
        <v/>
      </c>
      <c r="I282" s="186" t="str">
        <f t="shared" si="30"/>
        <v/>
      </c>
      <c r="J282" s="185" t="str">
        <f t="shared" si="31"/>
        <v/>
      </c>
    </row>
    <row r="283" spans="4:10">
      <c r="D283" s="145" t="str">
        <f t="shared" si="32"/>
        <v/>
      </c>
      <c r="E283" s="184" t="str">
        <f t="shared" si="33"/>
        <v/>
      </c>
      <c r="F283" s="185" t="str">
        <f t="shared" si="34"/>
        <v/>
      </c>
      <c r="G283" s="186" t="str">
        <f t="shared" si="28"/>
        <v/>
      </c>
      <c r="H283" s="187" t="str">
        <f t="shared" si="29"/>
        <v/>
      </c>
      <c r="I283" s="186" t="str">
        <f t="shared" si="30"/>
        <v/>
      </c>
      <c r="J283" s="185" t="str">
        <f t="shared" si="31"/>
        <v/>
      </c>
    </row>
    <row r="284" spans="4:10">
      <c r="D284" s="145" t="str">
        <f t="shared" si="32"/>
        <v/>
      </c>
      <c r="E284" s="184" t="str">
        <f t="shared" si="33"/>
        <v/>
      </c>
      <c r="F284" s="185" t="str">
        <f t="shared" si="34"/>
        <v/>
      </c>
      <c r="G284" s="186" t="str">
        <f t="shared" si="28"/>
        <v/>
      </c>
      <c r="H284" s="187" t="str">
        <f t="shared" si="29"/>
        <v/>
      </c>
      <c r="I284" s="186" t="str">
        <f t="shared" si="30"/>
        <v/>
      </c>
      <c r="J284" s="185" t="str">
        <f t="shared" si="31"/>
        <v/>
      </c>
    </row>
    <row r="285" spans="4:10">
      <c r="D285" s="145" t="str">
        <f t="shared" si="32"/>
        <v/>
      </c>
      <c r="E285" s="184" t="str">
        <f t="shared" si="33"/>
        <v/>
      </c>
      <c r="F285" s="185" t="str">
        <f t="shared" si="34"/>
        <v/>
      </c>
      <c r="G285" s="186" t="str">
        <f t="shared" si="28"/>
        <v/>
      </c>
      <c r="H285" s="187" t="str">
        <f t="shared" si="29"/>
        <v/>
      </c>
      <c r="I285" s="186" t="str">
        <f t="shared" si="30"/>
        <v/>
      </c>
      <c r="J285" s="185" t="str">
        <f t="shared" si="31"/>
        <v/>
      </c>
    </row>
    <row r="286" spans="4:10">
      <c r="D286" s="145" t="str">
        <f t="shared" si="32"/>
        <v/>
      </c>
      <c r="E286" s="184" t="str">
        <f t="shared" si="33"/>
        <v/>
      </c>
      <c r="F286" s="185" t="str">
        <f t="shared" si="34"/>
        <v/>
      </c>
      <c r="G286" s="186" t="str">
        <f t="shared" si="28"/>
        <v/>
      </c>
      <c r="H286" s="187" t="str">
        <f t="shared" si="29"/>
        <v/>
      </c>
      <c r="I286" s="186" t="str">
        <f t="shared" si="30"/>
        <v/>
      </c>
      <c r="J286" s="185" t="str">
        <f t="shared" si="31"/>
        <v/>
      </c>
    </row>
    <row r="287" spans="4:10">
      <c r="D287" s="145" t="str">
        <f t="shared" si="32"/>
        <v/>
      </c>
      <c r="E287" s="184" t="str">
        <f t="shared" si="33"/>
        <v/>
      </c>
      <c r="F287" s="185" t="str">
        <f t="shared" si="34"/>
        <v/>
      </c>
      <c r="G287" s="186" t="str">
        <f t="shared" si="28"/>
        <v/>
      </c>
      <c r="H287" s="187" t="str">
        <f t="shared" si="29"/>
        <v/>
      </c>
      <c r="I287" s="186" t="str">
        <f t="shared" si="30"/>
        <v/>
      </c>
      <c r="J287" s="185" t="str">
        <f t="shared" si="31"/>
        <v/>
      </c>
    </row>
    <row r="288" spans="4:10">
      <c r="D288" s="145" t="str">
        <f t="shared" si="32"/>
        <v/>
      </c>
      <c r="E288" s="184" t="str">
        <f t="shared" si="33"/>
        <v/>
      </c>
      <c r="F288" s="185" t="str">
        <f t="shared" si="34"/>
        <v/>
      </c>
      <c r="G288" s="186" t="str">
        <f t="shared" si="28"/>
        <v/>
      </c>
      <c r="H288" s="187" t="str">
        <f t="shared" si="29"/>
        <v/>
      </c>
      <c r="I288" s="186" t="str">
        <f t="shared" si="30"/>
        <v/>
      </c>
      <c r="J288" s="185" t="str">
        <f t="shared" si="31"/>
        <v/>
      </c>
    </row>
    <row r="289" spans="4:10">
      <c r="D289" s="145" t="str">
        <f t="shared" si="32"/>
        <v/>
      </c>
      <c r="E289" s="184" t="str">
        <f t="shared" si="33"/>
        <v/>
      </c>
      <c r="F289" s="185" t="str">
        <f t="shared" si="34"/>
        <v/>
      </c>
      <c r="G289" s="186" t="str">
        <f t="shared" si="28"/>
        <v/>
      </c>
      <c r="H289" s="187" t="str">
        <f t="shared" si="29"/>
        <v/>
      </c>
      <c r="I289" s="186" t="str">
        <f t="shared" si="30"/>
        <v/>
      </c>
      <c r="J289" s="185" t="str">
        <f t="shared" si="31"/>
        <v/>
      </c>
    </row>
    <row r="290" spans="4:10">
      <c r="D290" s="145" t="str">
        <f t="shared" si="32"/>
        <v/>
      </c>
      <c r="E290" s="184" t="str">
        <f t="shared" si="33"/>
        <v/>
      </c>
      <c r="F290" s="185" t="str">
        <f t="shared" si="34"/>
        <v/>
      </c>
      <c r="G290" s="186" t="str">
        <f t="shared" si="28"/>
        <v/>
      </c>
      <c r="H290" s="187" t="str">
        <f t="shared" si="29"/>
        <v/>
      </c>
      <c r="I290" s="186" t="str">
        <f t="shared" si="30"/>
        <v/>
      </c>
      <c r="J290" s="185" t="str">
        <f t="shared" si="31"/>
        <v/>
      </c>
    </row>
    <row r="291" spans="4:10">
      <c r="D291" s="145" t="str">
        <f t="shared" si="32"/>
        <v/>
      </c>
      <c r="E291" s="184" t="str">
        <f t="shared" si="33"/>
        <v/>
      </c>
      <c r="F291" s="185" t="str">
        <f t="shared" si="34"/>
        <v/>
      </c>
      <c r="G291" s="186" t="str">
        <f t="shared" si="28"/>
        <v/>
      </c>
      <c r="H291" s="187" t="str">
        <f t="shared" si="29"/>
        <v/>
      </c>
      <c r="I291" s="186" t="str">
        <f t="shared" si="30"/>
        <v/>
      </c>
      <c r="J291" s="185" t="str">
        <f t="shared" si="31"/>
        <v/>
      </c>
    </row>
    <row r="292" spans="4:10">
      <c r="D292" s="145" t="str">
        <f t="shared" si="32"/>
        <v/>
      </c>
      <c r="E292" s="184" t="str">
        <f t="shared" si="33"/>
        <v/>
      </c>
      <c r="F292" s="185" t="str">
        <f t="shared" si="34"/>
        <v/>
      </c>
      <c r="G292" s="186" t="str">
        <f t="shared" si="28"/>
        <v/>
      </c>
      <c r="H292" s="187" t="str">
        <f t="shared" si="29"/>
        <v/>
      </c>
      <c r="I292" s="186" t="str">
        <f t="shared" si="30"/>
        <v/>
      </c>
      <c r="J292" s="185" t="str">
        <f t="shared" si="31"/>
        <v/>
      </c>
    </row>
    <row r="293" spans="4:10">
      <c r="D293" s="145" t="str">
        <f t="shared" si="32"/>
        <v/>
      </c>
      <c r="E293" s="184" t="str">
        <f t="shared" si="33"/>
        <v/>
      </c>
      <c r="F293" s="185" t="str">
        <f t="shared" si="34"/>
        <v/>
      </c>
      <c r="G293" s="186" t="str">
        <f t="shared" si="28"/>
        <v/>
      </c>
      <c r="H293" s="187" t="str">
        <f t="shared" si="29"/>
        <v/>
      </c>
      <c r="I293" s="186" t="str">
        <f t="shared" si="30"/>
        <v/>
      </c>
      <c r="J293" s="185" t="str">
        <f t="shared" si="31"/>
        <v/>
      </c>
    </row>
    <row r="294" spans="4:10">
      <c r="D294" s="145" t="str">
        <f t="shared" si="32"/>
        <v/>
      </c>
      <c r="E294" s="184" t="str">
        <f t="shared" si="33"/>
        <v/>
      </c>
      <c r="F294" s="185" t="str">
        <f t="shared" si="34"/>
        <v/>
      </c>
      <c r="G294" s="186" t="str">
        <f t="shared" si="28"/>
        <v/>
      </c>
      <c r="H294" s="187" t="str">
        <f t="shared" si="29"/>
        <v/>
      </c>
      <c r="I294" s="186" t="str">
        <f t="shared" si="30"/>
        <v/>
      </c>
      <c r="J294" s="185" t="str">
        <f t="shared" si="31"/>
        <v/>
      </c>
    </row>
    <row r="295" spans="4:10">
      <c r="D295" s="145" t="str">
        <f t="shared" si="32"/>
        <v/>
      </c>
      <c r="E295" s="184" t="str">
        <f t="shared" si="33"/>
        <v/>
      </c>
      <c r="F295" s="185" t="str">
        <f t="shared" si="34"/>
        <v/>
      </c>
      <c r="G295" s="186" t="str">
        <f t="shared" si="28"/>
        <v/>
      </c>
      <c r="H295" s="187" t="str">
        <f t="shared" si="29"/>
        <v/>
      </c>
      <c r="I295" s="186" t="str">
        <f t="shared" si="30"/>
        <v/>
      </c>
      <c r="J295" s="185" t="str">
        <f t="shared" si="31"/>
        <v/>
      </c>
    </row>
    <row r="296" spans="4:10">
      <c r="D296" s="145" t="str">
        <f t="shared" si="32"/>
        <v/>
      </c>
      <c r="E296" s="184" t="str">
        <f t="shared" si="33"/>
        <v/>
      </c>
      <c r="F296" s="185" t="str">
        <f t="shared" si="34"/>
        <v/>
      </c>
      <c r="G296" s="186" t="str">
        <f t="shared" si="28"/>
        <v/>
      </c>
      <c r="H296" s="187" t="str">
        <f t="shared" si="29"/>
        <v/>
      </c>
      <c r="I296" s="186" t="str">
        <f t="shared" si="30"/>
        <v/>
      </c>
      <c r="J296" s="185" t="str">
        <f t="shared" si="31"/>
        <v/>
      </c>
    </row>
    <row r="297" spans="4:10">
      <c r="D297" s="145" t="str">
        <f t="shared" si="32"/>
        <v/>
      </c>
      <c r="E297" s="184" t="str">
        <f t="shared" si="33"/>
        <v/>
      </c>
      <c r="F297" s="185" t="str">
        <f t="shared" si="34"/>
        <v/>
      </c>
      <c r="G297" s="186" t="str">
        <f t="shared" si="28"/>
        <v/>
      </c>
      <c r="H297" s="187" t="str">
        <f t="shared" si="29"/>
        <v/>
      </c>
      <c r="I297" s="186" t="str">
        <f t="shared" si="30"/>
        <v/>
      </c>
      <c r="J297" s="185" t="str">
        <f t="shared" si="31"/>
        <v/>
      </c>
    </row>
    <row r="298" spans="4:10">
      <c r="D298" s="145" t="str">
        <f t="shared" si="32"/>
        <v/>
      </c>
      <c r="E298" s="184" t="str">
        <f t="shared" si="33"/>
        <v/>
      </c>
      <c r="F298" s="185" t="str">
        <f t="shared" si="34"/>
        <v/>
      </c>
      <c r="G298" s="186" t="str">
        <f t="shared" si="28"/>
        <v/>
      </c>
      <c r="H298" s="187" t="str">
        <f t="shared" si="29"/>
        <v/>
      </c>
      <c r="I298" s="186" t="str">
        <f t="shared" si="30"/>
        <v/>
      </c>
      <c r="J298" s="185" t="str">
        <f t="shared" si="31"/>
        <v/>
      </c>
    </row>
    <row r="299" spans="4:10">
      <c r="D299" s="145" t="str">
        <f t="shared" si="32"/>
        <v/>
      </c>
      <c r="E299" s="184" t="str">
        <f t="shared" si="33"/>
        <v/>
      </c>
      <c r="F299" s="185" t="str">
        <f t="shared" si="34"/>
        <v/>
      </c>
      <c r="G299" s="186" t="str">
        <f t="shared" si="28"/>
        <v/>
      </c>
      <c r="H299" s="187" t="str">
        <f t="shared" si="29"/>
        <v/>
      </c>
      <c r="I299" s="186" t="str">
        <f t="shared" si="30"/>
        <v/>
      </c>
      <c r="J299" s="185" t="str">
        <f t="shared" si="31"/>
        <v/>
      </c>
    </row>
    <row r="300" spans="4:10">
      <c r="D300" s="145" t="str">
        <f t="shared" si="32"/>
        <v/>
      </c>
      <c r="E300" s="184" t="str">
        <f t="shared" si="33"/>
        <v/>
      </c>
      <c r="F300" s="185" t="str">
        <f t="shared" si="34"/>
        <v/>
      </c>
      <c r="G300" s="186" t="str">
        <f t="shared" si="28"/>
        <v/>
      </c>
      <c r="H300" s="187" t="str">
        <f t="shared" si="29"/>
        <v/>
      </c>
      <c r="I300" s="186" t="str">
        <f t="shared" si="30"/>
        <v/>
      </c>
      <c r="J300" s="185" t="str">
        <f t="shared" si="31"/>
        <v/>
      </c>
    </row>
    <row r="301" spans="4:10">
      <c r="D301" s="145" t="str">
        <f t="shared" si="32"/>
        <v/>
      </c>
      <c r="E301" s="184" t="str">
        <f t="shared" si="33"/>
        <v/>
      </c>
      <c r="F301" s="185" t="str">
        <f t="shared" si="34"/>
        <v/>
      </c>
      <c r="G301" s="186" t="str">
        <f t="shared" si="28"/>
        <v/>
      </c>
      <c r="H301" s="187" t="str">
        <f t="shared" si="29"/>
        <v/>
      </c>
      <c r="I301" s="186" t="str">
        <f t="shared" si="30"/>
        <v/>
      </c>
      <c r="J301" s="185" t="str">
        <f t="shared" si="31"/>
        <v/>
      </c>
    </row>
    <row r="302" spans="4:10">
      <c r="D302" s="145" t="str">
        <f t="shared" si="32"/>
        <v/>
      </c>
      <c r="E302" s="184" t="str">
        <f t="shared" si="33"/>
        <v/>
      </c>
      <c r="F302" s="185" t="str">
        <f t="shared" si="34"/>
        <v/>
      </c>
      <c r="G302" s="186" t="str">
        <f t="shared" si="28"/>
        <v/>
      </c>
      <c r="H302" s="187" t="str">
        <f t="shared" si="29"/>
        <v/>
      </c>
      <c r="I302" s="186" t="str">
        <f t="shared" si="30"/>
        <v/>
      </c>
      <c r="J302" s="185" t="str">
        <f t="shared" si="31"/>
        <v/>
      </c>
    </row>
    <row r="303" spans="4:10">
      <c r="D303" s="145" t="str">
        <f>IFERROR(IF(D302+1&lt;=$C$12,D302+1,""),"")</f>
        <v/>
      </c>
      <c r="E303" s="184" t="str">
        <f t="shared" si="33"/>
        <v/>
      </c>
      <c r="F303" s="185" t="str">
        <f t="shared" si="34"/>
        <v/>
      </c>
      <c r="G303" s="186" t="str">
        <f t="shared" si="28"/>
        <v/>
      </c>
      <c r="H303" s="187" t="str">
        <f t="shared" si="29"/>
        <v/>
      </c>
      <c r="I303" s="186" t="str">
        <f t="shared" si="30"/>
        <v/>
      </c>
      <c r="J303" s="185" t="str">
        <f t="shared" si="31"/>
        <v/>
      </c>
    </row>
    <row r="304" spans="4:10">
      <c r="D304" s="145" t="str">
        <f t="shared" ref="D304:D319" si="35">IFERROR(IF(D303+1&lt;=$C$12,D303+1,""),"")</f>
        <v/>
      </c>
      <c r="E304" s="184" t="str">
        <f t="shared" si="33"/>
        <v/>
      </c>
      <c r="F304" s="185" t="str">
        <f t="shared" si="34"/>
        <v/>
      </c>
      <c r="G304" s="186" t="str">
        <f t="shared" si="28"/>
        <v/>
      </c>
      <c r="H304" s="187" t="str">
        <f t="shared" si="29"/>
        <v/>
      </c>
      <c r="I304" s="186" t="str">
        <f t="shared" si="30"/>
        <v/>
      </c>
      <c r="J304" s="185" t="str">
        <f t="shared" si="31"/>
        <v/>
      </c>
    </row>
    <row r="305" spans="4:10">
      <c r="D305" s="145" t="str">
        <f t="shared" si="35"/>
        <v/>
      </c>
      <c r="E305" s="184" t="str">
        <f t="shared" si="33"/>
        <v/>
      </c>
      <c r="F305" s="185" t="str">
        <f t="shared" si="34"/>
        <v/>
      </c>
      <c r="G305" s="186" t="str">
        <f t="shared" si="28"/>
        <v/>
      </c>
      <c r="H305" s="187" t="str">
        <f t="shared" si="29"/>
        <v/>
      </c>
      <c r="I305" s="186" t="str">
        <f t="shared" si="30"/>
        <v/>
      </c>
      <c r="J305" s="185" t="str">
        <f t="shared" si="31"/>
        <v/>
      </c>
    </row>
    <row r="306" spans="4:10">
      <c r="D306" s="145" t="str">
        <f t="shared" si="35"/>
        <v/>
      </c>
      <c r="E306" s="184" t="str">
        <f t="shared" si="33"/>
        <v/>
      </c>
      <c r="F306" s="185" t="str">
        <f t="shared" si="34"/>
        <v/>
      </c>
      <c r="G306" s="186" t="str">
        <f t="shared" si="28"/>
        <v/>
      </c>
      <c r="H306" s="187" t="str">
        <f t="shared" si="29"/>
        <v/>
      </c>
      <c r="I306" s="186" t="str">
        <f t="shared" si="30"/>
        <v/>
      </c>
      <c r="J306" s="185" t="str">
        <f t="shared" si="31"/>
        <v/>
      </c>
    </row>
    <row r="307" spans="4:10">
      <c r="D307" s="145" t="str">
        <f t="shared" si="35"/>
        <v/>
      </c>
      <c r="E307" s="184" t="str">
        <f t="shared" si="33"/>
        <v/>
      </c>
      <c r="F307" s="185" t="str">
        <f t="shared" si="34"/>
        <v/>
      </c>
      <c r="G307" s="186" t="str">
        <f t="shared" si="28"/>
        <v/>
      </c>
      <c r="H307" s="187" t="str">
        <f t="shared" si="29"/>
        <v/>
      </c>
      <c r="I307" s="186" t="str">
        <f t="shared" si="30"/>
        <v/>
      </c>
      <c r="J307" s="185" t="str">
        <f t="shared" si="31"/>
        <v/>
      </c>
    </row>
    <row r="308" spans="4:10">
      <c r="D308" s="145" t="str">
        <f t="shared" si="35"/>
        <v/>
      </c>
      <c r="E308" s="184" t="str">
        <f t="shared" si="33"/>
        <v/>
      </c>
      <c r="F308" s="185" t="str">
        <f t="shared" si="34"/>
        <v/>
      </c>
      <c r="G308" s="186" t="str">
        <f t="shared" si="28"/>
        <v/>
      </c>
      <c r="H308" s="187" t="str">
        <f t="shared" si="29"/>
        <v/>
      </c>
      <c r="I308" s="186" t="str">
        <f t="shared" si="30"/>
        <v/>
      </c>
      <c r="J308" s="185" t="str">
        <f t="shared" si="31"/>
        <v/>
      </c>
    </row>
    <row r="309" spans="4:10">
      <c r="D309" s="145" t="str">
        <f t="shared" si="35"/>
        <v/>
      </c>
      <c r="E309" s="184" t="str">
        <f t="shared" si="33"/>
        <v/>
      </c>
      <c r="F309" s="185" t="str">
        <f t="shared" si="34"/>
        <v/>
      </c>
      <c r="G309" s="186" t="str">
        <f t="shared" si="28"/>
        <v/>
      </c>
      <c r="H309" s="187" t="str">
        <f t="shared" si="29"/>
        <v/>
      </c>
      <c r="I309" s="186" t="str">
        <f t="shared" si="30"/>
        <v/>
      </c>
      <c r="J309" s="185" t="str">
        <f t="shared" si="31"/>
        <v/>
      </c>
    </row>
    <row r="310" spans="4:10">
      <c r="D310" s="145" t="str">
        <f t="shared" si="35"/>
        <v/>
      </c>
      <c r="E310" s="184" t="str">
        <f t="shared" si="33"/>
        <v/>
      </c>
      <c r="F310" s="185" t="str">
        <f t="shared" si="34"/>
        <v/>
      </c>
      <c r="G310" s="186" t="str">
        <f t="shared" si="28"/>
        <v/>
      </c>
      <c r="H310" s="187" t="str">
        <f t="shared" si="29"/>
        <v/>
      </c>
      <c r="I310" s="186" t="str">
        <f t="shared" si="30"/>
        <v/>
      </c>
      <c r="J310" s="185" t="str">
        <f t="shared" si="31"/>
        <v/>
      </c>
    </row>
    <row r="311" spans="4:10">
      <c r="D311" s="145" t="str">
        <f t="shared" si="35"/>
        <v/>
      </c>
      <c r="E311" s="184" t="str">
        <f t="shared" si="33"/>
        <v/>
      </c>
      <c r="F311" s="185" t="str">
        <f t="shared" si="34"/>
        <v/>
      </c>
      <c r="G311" s="186" t="str">
        <f t="shared" si="28"/>
        <v/>
      </c>
      <c r="H311" s="187" t="str">
        <f t="shared" si="29"/>
        <v/>
      </c>
      <c r="I311" s="186" t="str">
        <f t="shared" si="30"/>
        <v/>
      </c>
      <c r="J311" s="185" t="str">
        <f t="shared" si="31"/>
        <v/>
      </c>
    </row>
    <row r="312" spans="4:10">
      <c r="D312" s="145" t="str">
        <f t="shared" si="35"/>
        <v/>
      </c>
      <c r="E312" s="184" t="str">
        <f t="shared" si="33"/>
        <v/>
      </c>
      <c r="F312" s="185" t="str">
        <f t="shared" si="34"/>
        <v/>
      </c>
      <c r="G312" s="186" t="str">
        <f t="shared" si="28"/>
        <v/>
      </c>
      <c r="H312" s="187" t="str">
        <f t="shared" si="29"/>
        <v/>
      </c>
      <c r="I312" s="186" t="str">
        <f t="shared" si="30"/>
        <v/>
      </c>
      <c r="J312" s="185" t="str">
        <f t="shared" si="31"/>
        <v/>
      </c>
    </row>
    <row r="313" spans="4:10">
      <c r="D313" s="145" t="str">
        <f t="shared" si="35"/>
        <v/>
      </c>
      <c r="E313" s="184" t="str">
        <f t="shared" si="33"/>
        <v/>
      </c>
      <c r="F313" s="185" t="str">
        <f t="shared" si="34"/>
        <v/>
      </c>
      <c r="G313" s="186" t="str">
        <f t="shared" si="28"/>
        <v/>
      </c>
      <c r="H313" s="187" t="str">
        <f t="shared" si="29"/>
        <v/>
      </c>
      <c r="I313" s="186" t="str">
        <f t="shared" si="30"/>
        <v/>
      </c>
      <c r="J313" s="185" t="str">
        <f t="shared" si="31"/>
        <v/>
      </c>
    </row>
    <row r="314" spans="4:10">
      <c r="D314" s="145" t="str">
        <f t="shared" si="35"/>
        <v/>
      </c>
      <c r="E314" s="184" t="str">
        <f t="shared" si="33"/>
        <v/>
      </c>
      <c r="F314" s="185" t="str">
        <f t="shared" si="34"/>
        <v/>
      </c>
      <c r="G314" s="186" t="str">
        <f t="shared" si="28"/>
        <v/>
      </c>
      <c r="H314" s="187" t="str">
        <f t="shared" si="29"/>
        <v/>
      </c>
      <c r="I314" s="186" t="str">
        <f t="shared" si="30"/>
        <v/>
      </c>
      <c r="J314" s="185" t="str">
        <f t="shared" si="31"/>
        <v/>
      </c>
    </row>
    <row r="315" spans="4:10">
      <c r="D315" s="145" t="str">
        <f t="shared" si="35"/>
        <v/>
      </c>
      <c r="E315" s="184" t="str">
        <f t="shared" si="33"/>
        <v/>
      </c>
      <c r="F315" s="185" t="str">
        <f t="shared" si="34"/>
        <v/>
      </c>
      <c r="G315" s="186" t="str">
        <f t="shared" si="28"/>
        <v/>
      </c>
      <c r="H315" s="187" t="str">
        <f t="shared" si="29"/>
        <v/>
      </c>
      <c r="I315" s="186" t="str">
        <f t="shared" si="30"/>
        <v/>
      </c>
      <c r="J315" s="185" t="str">
        <f t="shared" si="31"/>
        <v/>
      </c>
    </row>
    <row r="316" spans="4:10">
      <c r="D316" s="145" t="str">
        <f t="shared" si="35"/>
        <v/>
      </c>
      <c r="E316" s="184" t="str">
        <f t="shared" si="33"/>
        <v/>
      </c>
      <c r="F316" s="185" t="str">
        <f t="shared" si="34"/>
        <v/>
      </c>
      <c r="G316" s="186" t="str">
        <f t="shared" si="28"/>
        <v/>
      </c>
      <c r="H316" s="187" t="str">
        <f t="shared" si="29"/>
        <v/>
      </c>
      <c r="I316" s="186" t="str">
        <f t="shared" si="30"/>
        <v/>
      </c>
      <c r="J316" s="185" t="str">
        <f t="shared" si="31"/>
        <v/>
      </c>
    </row>
    <row r="317" spans="4:10">
      <c r="D317" s="145" t="str">
        <f t="shared" si="35"/>
        <v/>
      </c>
      <c r="E317" s="184" t="str">
        <f t="shared" si="33"/>
        <v/>
      </c>
      <c r="F317" s="185" t="str">
        <f t="shared" si="34"/>
        <v/>
      </c>
      <c r="G317" s="186" t="str">
        <f t="shared" si="28"/>
        <v/>
      </c>
      <c r="H317" s="187" t="str">
        <f t="shared" si="29"/>
        <v/>
      </c>
      <c r="I317" s="186" t="str">
        <f t="shared" si="30"/>
        <v/>
      </c>
      <c r="J317" s="185" t="str">
        <f t="shared" si="31"/>
        <v/>
      </c>
    </row>
    <row r="318" spans="4:10">
      <c r="D318" s="145" t="str">
        <f t="shared" si="35"/>
        <v/>
      </c>
      <c r="E318" s="184" t="str">
        <f t="shared" si="33"/>
        <v/>
      </c>
      <c r="F318" s="185" t="str">
        <f t="shared" si="34"/>
        <v/>
      </c>
      <c r="G318" s="186" t="str">
        <f t="shared" si="28"/>
        <v/>
      </c>
      <c r="H318" s="187" t="str">
        <f t="shared" si="29"/>
        <v/>
      </c>
      <c r="I318" s="186" t="str">
        <f t="shared" si="30"/>
        <v/>
      </c>
      <c r="J318" s="185" t="str">
        <f t="shared" si="31"/>
        <v/>
      </c>
    </row>
    <row r="319" spans="4:10">
      <c r="D319" s="145" t="str">
        <f t="shared" si="35"/>
        <v/>
      </c>
      <c r="E319" s="184" t="str">
        <f t="shared" si="33"/>
        <v/>
      </c>
      <c r="F319" s="185" t="str">
        <f t="shared" si="34"/>
        <v/>
      </c>
      <c r="G319" s="186" t="str">
        <f t="shared" si="28"/>
        <v/>
      </c>
      <c r="H319" s="187" t="str">
        <f t="shared" si="29"/>
        <v/>
      </c>
      <c r="I319" s="186" t="str">
        <f t="shared" si="30"/>
        <v/>
      </c>
      <c r="J319" s="185" t="str">
        <f t="shared" si="31"/>
        <v/>
      </c>
    </row>
  </sheetData>
  <mergeCells count="3">
    <mergeCell ref="B2:J3"/>
    <mergeCell ref="B5:C5"/>
    <mergeCell ref="B11:C1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04CB4-8BE5-46E6-A964-C9C5D457FA47}">
  <dimension ref="A1:G24"/>
  <sheetViews>
    <sheetView showGridLines="0" workbookViewId="0">
      <selection activeCell="E2" sqref="E2"/>
    </sheetView>
  </sheetViews>
  <sheetFormatPr baseColWidth="10" defaultRowHeight="14.4"/>
  <cols>
    <col min="1" max="1" width="3.77734375" customWidth="1"/>
    <col min="2" max="2" width="21.88671875" bestFit="1" customWidth="1"/>
    <col min="3" max="3" width="14.77734375" bestFit="1" customWidth="1"/>
    <col min="4" max="4" width="11.6640625" bestFit="1" customWidth="1"/>
    <col min="5" max="5" width="12.6640625" bestFit="1" customWidth="1"/>
  </cols>
  <sheetData>
    <row r="1" spans="1:7" ht="15.6">
      <c r="A1" s="1" t="s">
        <v>490</v>
      </c>
      <c r="B1" s="1"/>
      <c r="C1" s="205">
        <f xml:space="preserve"> Paramètres!C3</f>
        <v>2025</v>
      </c>
    </row>
    <row r="3" spans="1:7">
      <c r="B3" s="14" t="s">
        <v>14</v>
      </c>
      <c r="C3" s="5">
        <f>'Trésorerie année 1'!O7+'Trésorerie année 1'!O8</f>
        <v>205146</v>
      </c>
      <c r="D3" s="204" t="str">
        <f>IF(C3='Trésorerie année 1'!O7+'Trésorerie année 1'!O8,"OK","PROB")</f>
        <v>OK</v>
      </c>
    </row>
    <row r="4" spans="1:7">
      <c r="B4" s="14" t="s">
        <v>40</v>
      </c>
      <c r="C4" s="11">
        <f>'Trésorerie année 1'!O23+'Trésorerie année 1'!O24+'Trésorerie année 1'!O25+'Trésorerie année 1'!O27+'Trésorerie année 1'!O28+'Trésorerie année 1'!O29+'Trésorerie année 1'!O30+'Trésorerie année 1'!O31+'Trésorerie année 1'!O32+'Trésorerie année 1'!O33+'Trésorerie année 1'!O34+'Trésorerie année 1'!O35+'Trésorerie année 1'!O36</f>
        <v>101467.13476679384</v>
      </c>
      <c r="D4" s="288" t="str">
        <f>IF((C4+C5)='Trésorerie année 1'!O38,"OK","PROB")</f>
        <v>OK</v>
      </c>
    </row>
    <row r="5" spans="1:7">
      <c r="B5" s="14" t="s">
        <v>41</v>
      </c>
      <c r="C5" s="11">
        <f>'Trésorerie année 1'!O18+'Trésorerie année 1'!O19+'Trésorerie année 1'!O20+'Trésorerie année 1'!O21+'Trésorerie année 1'!O22+'Trésorerie année 1'!O26</f>
        <v>85086</v>
      </c>
      <c r="D5" s="288"/>
    </row>
    <row r="7" spans="1:7">
      <c r="B7" s="14" t="s">
        <v>42</v>
      </c>
      <c r="C7" s="5">
        <f>C3-C5</f>
        <v>120060</v>
      </c>
    </row>
    <row r="8" spans="1:7">
      <c r="B8" s="14" t="s">
        <v>43</v>
      </c>
      <c r="C8" s="16">
        <f>C7/C3</f>
        <v>0.58524173027989823</v>
      </c>
    </row>
    <row r="10" spans="1:7">
      <c r="B10" s="14" t="s">
        <v>39</v>
      </c>
      <c r="C10" s="12">
        <f>C4/C8</f>
        <v>173376.45201456512</v>
      </c>
    </row>
    <row r="12" spans="1:7" ht="43.2">
      <c r="B12" s="14" t="s">
        <v>44</v>
      </c>
      <c r="C12" s="15" t="s">
        <v>39</v>
      </c>
      <c r="D12" s="15" t="s">
        <v>45</v>
      </c>
      <c r="E12" s="15" t="s">
        <v>46</v>
      </c>
      <c r="F12" s="15" t="s">
        <v>41</v>
      </c>
      <c r="G12" s="15" t="s">
        <v>47</v>
      </c>
    </row>
    <row r="13" spans="1:7">
      <c r="B13" s="2" t="s">
        <v>13</v>
      </c>
      <c r="C13" s="17">
        <f>$C$10</f>
        <v>173376.45201456512</v>
      </c>
      <c r="D13" s="18" cm="1">
        <f t="array" ref="D13:D24">TRANSPOSE('Trésorerie année 1'!B7:M7)+TRANSPOSE('Trésorerie année 1'!B8:M8)</f>
        <v>18078</v>
      </c>
      <c r="E13" s="18">
        <f>D13</f>
        <v>18078</v>
      </c>
      <c r="F13" s="18" cm="1">
        <f t="array" ref="F13:F24">TRANSPOSE('Trésorerie année 1'!B18:M18)+TRANSPOSE('Trésorerie année 1'!B19:M19)+TRANSPOSE('Trésorerie année 1'!B20:M20)+TRANSPOSE('Trésorerie année 1'!B22:M22)+TRANSPOSE('Trésorerie année 1'!B21:M21)+TRANSPOSE('Trésorerie année 1'!B26:M26)</f>
        <v>7498</v>
      </c>
      <c r="G13" s="21">
        <f>D13-F13</f>
        <v>10580</v>
      </c>
    </row>
    <row r="14" spans="1:7">
      <c r="B14" s="2" t="s">
        <v>27</v>
      </c>
      <c r="C14" s="22">
        <f t="shared" ref="C14:C24" si="0">$C$10</f>
        <v>173376.45201456512</v>
      </c>
      <c r="D14" s="19">
        <v>15720</v>
      </c>
      <c r="E14" s="19">
        <f>D14+E13</f>
        <v>33798</v>
      </c>
      <c r="F14" s="19">
        <v>6520</v>
      </c>
      <c r="G14" s="23">
        <f t="shared" ref="G14:G24" si="1">D14-F14</f>
        <v>9200</v>
      </c>
    </row>
    <row r="15" spans="1:7">
      <c r="B15" s="2" t="s">
        <v>28</v>
      </c>
      <c r="C15" s="22">
        <f t="shared" si="0"/>
        <v>173376.45201456512</v>
      </c>
      <c r="D15" s="19">
        <v>16506</v>
      </c>
      <c r="E15" s="19">
        <f t="shared" ref="E15:E24" si="2">D15+E14</f>
        <v>50304</v>
      </c>
      <c r="F15" s="19">
        <v>6846</v>
      </c>
      <c r="G15" s="23">
        <f t="shared" si="1"/>
        <v>9660</v>
      </c>
    </row>
    <row r="16" spans="1:7">
      <c r="B16" s="2" t="s">
        <v>29</v>
      </c>
      <c r="C16" s="22">
        <f t="shared" si="0"/>
        <v>173376.45201456512</v>
      </c>
      <c r="D16" s="19">
        <v>17292</v>
      </c>
      <c r="E16" s="19">
        <f t="shared" si="2"/>
        <v>67596</v>
      </c>
      <c r="F16" s="19">
        <v>7172</v>
      </c>
      <c r="G16" s="23">
        <f t="shared" si="1"/>
        <v>10120</v>
      </c>
    </row>
    <row r="17" spans="2:7">
      <c r="B17" s="2" t="s">
        <v>30</v>
      </c>
      <c r="C17" s="22">
        <f t="shared" si="0"/>
        <v>173376.45201456512</v>
      </c>
      <c r="D17" s="19">
        <v>17292</v>
      </c>
      <c r="E17" s="19">
        <f t="shared" si="2"/>
        <v>84888</v>
      </c>
      <c r="F17" s="19">
        <v>7172</v>
      </c>
      <c r="G17" s="23">
        <f t="shared" si="1"/>
        <v>10120</v>
      </c>
    </row>
    <row r="18" spans="2:7">
      <c r="B18" s="2" t="s">
        <v>31</v>
      </c>
      <c r="C18" s="22">
        <f t="shared" si="0"/>
        <v>173376.45201456512</v>
      </c>
      <c r="D18" s="19">
        <v>16506</v>
      </c>
      <c r="E18" s="19">
        <f t="shared" si="2"/>
        <v>101394</v>
      </c>
      <c r="F18" s="19">
        <v>6846</v>
      </c>
      <c r="G18" s="23">
        <f t="shared" si="1"/>
        <v>9660</v>
      </c>
    </row>
    <row r="19" spans="2:7">
      <c r="B19" s="2" t="s">
        <v>32</v>
      </c>
      <c r="C19" s="22">
        <f t="shared" si="0"/>
        <v>173376.45201456512</v>
      </c>
      <c r="D19" s="19">
        <v>18078</v>
      </c>
      <c r="E19" s="19">
        <f t="shared" si="2"/>
        <v>119472</v>
      </c>
      <c r="F19" s="19">
        <v>7498</v>
      </c>
      <c r="G19" s="23">
        <f t="shared" si="1"/>
        <v>10580</v>
      </c>
    </row>
    <row r="20" spans="2:7">
      <c r="B20" s="2" t="s">
        <v>33</v>
      </c>
      <c r="C20" s="22">
        <f t="shared" si="0"/>
        <v>173376.45201456512</v>
      </c>
      <c r="D20" s="19">
        <v>16506</v>
      </c>
      <c r="E20" s="19">
        <f t="shared" si="2"/>
        <v>135978</v>
      </c>
      <c r="F20" s="19">
        <v>6846</v>
      </c>
      <c r="G20" s="23">
        <f t="shared" si="1"/>
        <v>9660</v>
      </c>
    </row>
    <row r="21" spans="2:7">
      <c r="B21" s="2" t="s">
        <v>34</v>
      </c>
      <c r="C21" s="22">
        <f t="shared" si="0"/>
        <v>173376.45201456512</v>
      </c>
      <c r="D21" s="19">
        <v>17292</v>
      </c>
      <c r="E21" s="19">
        <f t="shared" si="2"/>
        <v>153270</v>
      </c>
      <c r="F21" s="19">
        <v>7172</v>
      </c>
      <c r="G21" s="23">
        <f t="shared" si="1"/>
        <v>10120</v>
      </c>
    </row>
    <row r="22" spans="2:7">
      <c r="B22" s="2" t="s">
        <v>35</v>
      </c>
      <c r="C22" s="22">
        <f t="shared" si="0"/>
        <v>173376.45201456512</v>
      </c>
      <c r="D22" s="19">
        <v>18078</v>
      </c>
      <c r="E22" s="19">
        <f t="shared" si="2"/>
        <v>171348</v>
      </c>
      <c r="F22" s="19">
        <v>7498</v>
      </c>
      <c r="G22" s="23">
        <f t="shared" si="1"/>
        <v>10580</v>
      </c>
    </row>
    <row r="23" spans="2:7">
      <c r="B23" s="2" t="s">
        <v>36</v>
      </c>
      <c r="C23" s="22">
        <f t="shared" si="0"/>
        <v>173376.45201456512</v>
      </c>
      <c r="D23" s="19">
        <v>15720</v>
      </c>
      <c r="E23" s="19">
        <f t="shared" si="2"/>
        <v>187068</v>
      </c>
      <c r="F23" s="19">
        <v>6520</v>
      </c>
      <c r="G23" s="23">
        <f t="shared" si="1"/>
        <v>9200</v>
      </c>
    </row>
    <row r="24" spans="2:7">
      <c r="B24" s="2" t="s">
        <v>37</v>
      </c>
      <c r="C24" s="24">
        <f t="shared" si="0"/>
        <v>173376.45201456512</v>
      </c>
      <c r="D24" s="20">
        <v>18078</v>
      </c>
      <c r="E24" s="20">
        <f t="shared" si="2"/>
        <v>205146</v>
      </c>
      <c r="F24" s="20">
        <v>7498</v>
      </c>
      <c r="G24" s="25">
        <f t="shared" si="1"/>
        <v>10580</v>
      </c>
    </row>
  </sheetData>
  <mergeCells count="1">
    <mergeCell ref="D4:D5"/>
  </mergeCells>
  <phoneticPr fontId="3" type="noConversion"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5D747-C53A-4D8C-81A9-09A4D7641978}">
  <dimension ref="A1:G24"/>
  <sheetViews>
    <sheetView showGridLines="0" workbookViewId="0">
      <selection activeCell="E4" sqref="E4"/>
    </sheetView>
  </sheetViews>
  <sheetFormatPr baseColWidth="10" defaultRowHeight="14.4"/>
  <cols>
    <col min="1" max="1" width="3.77734375" customWidth="1"/>
    <col min="2" max="2" width="21.88671875" bestFit="1" customWidth="1"/>
    <col min="3" max="3" width="14.77734375" bestFit="1" customWidth="1"/>
    <col min="4" max="4" width="11.6640625" bestFit="1" customWidth="1"/>
    <col min="5" max="5" width="12.6640625" bestFit="1" customWidth="1"/>
  </cols>
  <sheetData>
    <row r="1" spans="1:7" ht="15.6">
      <c r="A1" s="1" t="s">
        <v>490</v>
      </c>
      <c r="B1" s="1"/>
      <c r="C1" s="205">
        <f>Paramètres!D3</f>
        <v>2026</v>
      </c>
    </row>
    <row r="3" spans="1:7">
      <c r="B3" s="14" t="s">
        <v>14</v>
      </c>
      <c r="C3" s="5">
        <f>'Trésorerie année 2'!O7+'Trésorerie année 2'!O8</f>
        <v>236857.50000000003</v>
      </c>
      <c r="D3" s="204" t="str">
        <f>IF(C3='Trésorerie année 2'!O7+'Trésorerie année 2'!O8,"OK","PROB")</f>
        <v>OK</v>
      </c>
    </row>
    <row r="4" spans="1:7">
      <c r="B4" s="14" t="s">
        <v>40</v>
      </c>
      <c r="C4" s="11">
        <f>'Trésorerie année 2'!O23+'Trésorerie année 2'!O24+'Trésorerie année 2'!O25+'Trésorerie année 2'!O27+'Trésorerie année 2'!O28+'Trésorerie année 2'!O29+'Trésorerie année 2'!O30+'Trésorerie année 2'!O31+'Trésorerie année 2'!O32+'Trésorerie année 2'!O33+'Trésorerie année 2'!O34+'Trésorerie année 2'!O35+'Trésorerie année 2'!O36</f>
        <v>106552.63476679384</v>
      </c>
      <c r="D4" s="288" t="str">
        <f>IF((C4+C5)='Trésorerie année 2'!O38,"OK","PROB")</f>
        <v>PROB</v>
      </c>
    </row>
    <row r="5" spans="1:7">
      <c r="B5" s="14" t="s">
        <v>41</v>
      </c>
      <c r="C5" s="11">
        <f>'Trésorerie année 2'!O18+'Trésorerie année 2'!O19+'Trésorerie année 2'!O20+'Trésorerie année 2'!O21+'Trésorerie année 2'!O22+'Trésorerie année 2'!O26</f>
        <v>100377.33750000002</v>
      </c>
      <c r="D5" s="288"/>
    </row>
    <row r="7" spans="1:7">
      <c r="B7" s="14" t="s">
        <v>42</v>
      </c>
      <c r="C7" s="5">
        <f>C3-C5</f>
        <v>136480.16250000001</v>
      </c>
    </row>
    <row r="8" spans="1:7">
      <c r="B8" s="14" t="s">
        <v>43</v>
      </c>
      <c r="C8" s="16">
        <f>C7/C3</f>
        <v>0.57621212121212118</v>
      </c>
    </row>
    <row r="10" spans="1:7">
      <c r="B10" s="14" t="s">
        <v>39</v>
      </c>
      <c r="C10" s="12">
        <f>C4/C8</f>
        <v>184919.11371570849</v>
      </c>
    </row>
    <row r="12" spans="1:7" ht="43.2">
      <c r="B12" s="14" t="s">
        <v>44</v>
      </c>
      <c r="C12" s="15" t="s">
        <v>39</v>
      </c>
      <c r="D12" s="15" t="s">
        <v>45</v>
      </c>
      <c r="E12" s="15" t="s">
        <v>46</v>
      </c>
      <c r="F12" s="15" t="s">
        <v>41</v>
      </c>
      <c r="G12" s="15" t="s">
        <v>47</v>
      </c>
    </row>
    <row r="13" spans="1:7">
      <c r="B13" s="2" t="s">
        <v>13</v>
      </c>
      <c r="C13" s="17">
        <f>$C$10</f>
        <v>184919.11371570849</v>
      </c>
      <c r="D13" s="18" cm="1">
        <f t="array" ref="D13:D24">TRANSPOSE('Trésorerie année 2'!B7:M7)+TRANSPOSE('Trésorerie année 2'!B8:M8)</f>
        <v>19965.000000000004</v>
      </c>
      <c r="E13" s="18">
        <f>D13</f>
        <v>19965.000000000004</v>
      </c>
      <c r="F13" s="18" cm="1">
        <f t="array" ref="F13:F24">TRANSPOSE('Trésorerie année 2'!B18:M18)+TRANSPOSE('Trésorerie année 2'!B19:M19)+TRANSPOSE('Trésorerie année 2'!B20:M20)+TRANSPOSE('Trésorerie année 2'!B22:M22)+TRANSPOSE('Trésorerie année 2'!B21:M21)+TRANSPOSE('Trésorerie année 2'!B26:M26)</f>
        <v>8460.9250000000011</v>
      </c>
      <c r="G13" s="21">
        <f>D13-F13</f>
        <v>11504.075000000003</v>
      </c>
    </row>
    <row r="14" spans="1:7">
      <c r="B14" s="2" t="s">
        <v>27</v>
      </c>
      <c r="C14" s="22">
        <f t="shared" ref="C14:C24" si="0">$C$10</f>
        <v>184919.11371570849</v>
      </c>
      <c r="D14" s="19">
        <v>18150.000000000004</v>
      </c>
      <c r="E14" s="19">
        <f>D14+E13</f>
        <v>38115.000000000007</v>
      </c>
      <c r="F14" s="19">
        <v>7691.7500000000009</v>
      </c>
      <c r="G14" s="23">
        <f t="shared" ref="G14:G24" si="1">D14-F14</f>
        <v>10458.250000000004</v>
      </c>
    </row>
    <row r="15" spans="1:7">
      <c r="B15" s="2" t="s">
        <v>28</v>
      </c>
      <c r="C15" s="22">
        <f t="shared" si="0"/>
        <v>184919.11371570849</v>
      </c>
      <c r="D15" s="19">
        <v>19965.000000000004</v>
      </c>
      <c r="E15" s="19">
        <f t="shared" ref="E15:E24" si="2">D15+E14</f>
        <v>58080.000000000015</v>
      </c>
      <c r="F15" s="19">
        <v>8460.9250000000011</v>
      </c>
      <c r="G15" s="23">
        <f t="shared" si="1"/>
        <v>11504.075000000003</v>
      </c>
    </row>
    <row r="16" spans="1:7">
      <c r="B16" s="2" t="s">
        <v>29</v>
      </c>
      <c r="C16" s="22">
        <f t="shared" si="0"/>
        <v>184919.11371570849</v>
      </c>
      <c r="D16" s="19">
        <v>19965.000000000004</v>
      </c>
      <c r="E16" s="19">
        <f t="shared" si="2"/>
        <v>78045.000000000015</v>
      </c>
      <c r="F16" s="19">
        <v>8460.9250000000011</v>
      </c>
      <c r="G16" s="23">
        <f t="shared" si="1"/>
        <v>11504.075000000003</v>
      </c>
    </row>
    <row r="17" spans="2:7">
      <c r="B17" s="2" t="s">
        <v>30</v>
      </c>
      <c r="C17" s="22">
        <f t="shared" si="0"/>
        <v>184919.11371570849</v>
      </c>
      <c r="D17" s="19">
        <v>19057.500000000004</v>
      </c>
      <c r="E17" s="19">
        <f t="shared" si="2"/>
        <v>97102.500000000015</v>
      </c>
      <c r="F17" s="19">
        <v>8076.3375000000015</v>
      </c>
      <c r="G17" s="23">
        <f t="shared" si="1"/>
        <v>10981.162500000002</v>
      </c>
    </row>
    <row r="18" spans="2:7">
      <c r="B18" s="2" t="s">
        <v>31</v>
      </c>
      <c r="C18" s="22">
        <f t="shared" si="0"/>
        <v>184919.11371570849</v>
      </c>
      <c r="D18" s="19">
        <v>19965.000000000004</v>
      </c>
      <c r="E18" s="19">
        <f t="shared" si="2"/>
        <v>117067.50000000001</v>
      </c>
      <c r="F18" s="19">
        <v>8460.9250000000011</v>
      </c>
      <c r="G18" s="23">
        <f t="shared" si="1"/>
        <v>11504.075000000003</v>
      </c>
    </row>
    <row r="19" spans="2:7">
      <c r="B19" s="2" t="s">
        <v>32</v>
      </c>
      <c r="C19" s="22">
        <f t="shared" si="0"/>
        <v>184919.11371570849</v>
      </c>
      <c r="D19" s="19">
        <v>20872.500000000004</v>
      </c>
      <c r="E19" s="19">
        <f t="shared" si="2"/>
        <v>137940.00000000003</v>
      </c>
      <c r="F19" s="19">
        <v>8845.5125000000025</v>
      </c>
      <c r="G19" s="23">
        <f t="shared" si="1"/>
        <v>12026.987500000001</v>
      </c>
    </row>
    <row r="20" spans="2:7">
      <c r="B20" s="2" t="s">
        <v>33</v>
      </c>
      <c r="C20" s="22">
        <f t="shared" si="0"/>
        <v>184919.11371570849</v>
      </c>
      <c r="D20" s="19">
        <v>19057.500000000004</v>
      </c>
      <c r="E20" s="19">
        <f t="shared" si="2"/>
        <v>156997.50000000003</v>
      </c>
      <c r="F20" s="19">
        <v>8076.3375000000015</v>
      </c>
      <c r="G20" s="23">
        <f t="shared" si="1"/>
        <v>10981.162500000002</v>
      </c>
    </row>
    <row r="21" spans="2:7">
      <c r="B21" s="2" t="s">
        <v>34</v>
      </c>
      <c r="C21" s="22">
        <f t="shared" si="0"/>
        <v>184919.11371570849</v>
      </c>
      <c r="D21" s="19">
        <v>19965.000000000004</v>
      </c>
      <c r="E21" s="19">
        <f t="shared" si="2"/>
        <v>176962.50000000003</v>
      </c>
      <c r="F21" s="19">
        <v>8460.9250000000011</v>
      </c>
      <c r="G21" s="23">
        <f t="shared" si="1"/>
        <v>11504.075000000003</v>
      </c>
    </row>
    <row r="22" spans="2:7">
      <c r="B22" s="2" t="s">
        <v>35</v>
      </c>
      <c r="C22" s="22">
        <f t="shared" si="0"/>
        <v>184919.11371570849</v>
      </c>
      <c r="D22" s="19">
        <v>19965.000000000004</v>
      </c>
      <c r="E22" s="19">
        <f t="shared" si="2"/>
        <v>196927.50000000003</v>
      </c>
      <c r="F22" s="19">
        <v>8460.9250000000011</v>
      </c>
      <c r="G22" s="23">
        <f t="shared" si="1"/>
        <v>11504.075000000003</v>
      </c>
    </row>
    <row r="23" spans="2:7">
      <c r="B23" s="2" t="s">
        <v>36</v>
      </c>
      <c r="C23" s="22">
        <f t="shared" si="0"/>
        <v>184919.11371570849</v>
      </c>
      <c r="D23" s="19">
        <v>19057.500000000004</v>
      </c>
      <c r="E23" s="19">
        <f t="shared" si="2"/>
        <v>215985.00000000003</v>
      </c>
      <c r="F23" s="19">
        <v>8076.3375000000015</v>
      </c>
      <c r="G23" s="23">
        <f t="shared" si="1"/>
        <v>10981.162500000002</v>
      </c>
    </row>
    <row r="24" spans="2:7">
      <c r="B24" s="2" t="s">
        <v>37</v>
      </c>
      <c r="C24" s="24">
        <f t="shared" si="0"/>
        <v>184919.11371570849</v>
      </c>
      <c r="D24" s="20">
        <v>20872.500000000004</v>
      </c>
      <c r="E24" s="20">
        <f t="shared" si="2"/>
        <v>236857.50000000003</v>
      </c>
      <c r="F24" s="20">
        <v>8845.5125000000025</v>
      </c>
      <c r="G24" s="25">
        <f t="shared" si="1"/>
        <v>12026.987500000001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E8F4B-5D73-4C06-B22F-1C3035EC8E3B}">
  <dimension ref="A1:G24"/>
  <sheetViews>
    <sheetView showGridLines="0" workbookViewId="0">
      <selection activeCell="F4" sqref="F4"/>
    </sheetView>
  </sheetViews>
  <sheetFormatPr baseColWidth="10" defaultRowHeight="14.4"/>
  <cols>
    <col min="1" max="1" width="3.77734375" customWidth="1"/>
    <col min="2" max="2" width="21.88671875" bestFit="1" customWidth="1"/>
    <col min="3" max="3" width="14.77734375" bestFit="1" customWidth="1"/>
    <col min="4" max="4" width="11.6640625" bestFit="1" customWidth="1"/>
    <col min="5" max="5" width="12.6640625" bestFit="1" customWidth="1"/>
  </cols>
  <sheetData>
    <row r="1" spans="1:7" ht="15.6">
      <c r="A1" s="1" t="s">
        <v>490</v>
      </c>
      <c r="B1" s="1"/>
      <c r="C1" s="205">
        <f>Paramètres!E3</f>
        <v>2027</v>
      </c>
    </row>
    <row r="3" spans="1:7">
      <c r="B3" s="14" t="s">
        <v>14</v>
      </c>
      <c r="C3" s="5">
        <f>'Trésorerie année 3'!O7+'Trésorerie année 3'!O8</f>
        <v>261022.34812500002</v>
      </c>
      <c r="D3" s="204" t="str">
        <f>IF(C3='Trésorerie année 3'!O7+'Trésorerie année 3'!O8,"OK","PROB")</f>
        <v>OK</v>
      </c>
    </row>
    <row r="4" spans="1:7">
      <c r="B4" s="14" t="s">
        <v>40</v>
      </c>
      <c r="C4" s="11">
        <f>'Trésorerie année 3'!O23+'Trésorerie année 3'!O24+'Trésorerie année 3'!O25+'Trésorerie année 3'!O27+'Trésorerie année 3'!O28+'Trésorerie année 3'!O29+'Trésorerie année 3'!O30+'Trésorerie année 3'!O31+'Trésorerie année 3'!O32+'Trésorerie année 3'!O33+'Trésorerie année 3'!O34+'Trésorerie année 3'!O35+'Trésorerie année 3'!O36</f>
        <v>112818.80976679384</v>
      </c>
      <c r="D4" s="288" t="str">
        <f>IF((C4+C5)='Trésorerie année 3'!O38,"OK","PROB")</f>
        <v>PROB</v>
      </c>
    </row>
    <row r="5" spans="1:7">
      <c r="B5" s="14" t="s">
        <v>41</v>
      </c>
      <c r="C5" s="11">
        <f>'Trésorerie année 3'!O18+'Trésorerie année 3'!O19+'Trésorerie année 3'!O20+'Trésorerie année 3'!O21+'Trésorerie année 3'!O22+'Trésorerie année 3'!O26</f>
        <v>113040.8519625</v>
      </c>
      <c r="D5" s="288"/>
    </row>
    <row r="7" spans="1:7">
      <c r="B7" s="14" t="s">
        <v>42</v>
      </c>
      <c r="C7" s="5">
        <f>C3-C5</f>
        <v>147981.4961625</v>
      </c>
    </row>
    <row r="8" spans="1:7">
      <c r="B8" s="14" t="s">
        <v>43</v>
      </c>
      <c r="C8" s="16">
        <f>C7/C3</f>
        <v>0.56693036908714689</v>
      </c>
    </row>
    <row r="10" spans="1:7">
      <c r="B10" s="14" t="s">
        <v>39</v>
      </c>
      <c r="C10" s="12">
        <f>C4/C8</f>
        <v>198999.41142410677</v>
      </c>
    </row>
    <row r="12" spans="1:7" ht="43.2">
      <c r="B12" s="14" t="s">
        <v>44</v>
      </c>
      <c r="C12" s="15" t="s">
        <v>39</v>
      </c>
      <c r="D12" s="15" t="s">
        <v>45</v>
      </c>
      <c r="E12" s="15" t="s">
        <v>46</v>
      </c>
      <c r="F12" s="15" t="s">
        <v>41</v>
      </c>
      <c r="G12" s="15" t="s">
        <v>47</v>
      </c>
    </row>
    <row r="13" spans="1:7">
      <c r="B13" s="2" t="s">
        <v>13</v>
      </c>
      <c r="C13" s="17">
        <f>$C$10</f>
        <v>198999.41142410677</v>
      </c>
      <c r="D13" s="18" cm="1">
        <f t="array" ref="D13:D24">TRANSPOSE('Trésorerie année 3'!B7:M7)+TRANSPOSE('Trésorerie année 3'!B8:M8)</f>
        <v>21001.798125000005</v>
      </c>
      <c r="E13" s="18">
        <f>D13</f>
        <v>21001.798125000005</v>
      </c>
      <c r="F13" s="18" cm="1">
        <f t="array" ref="F13:F24">TRANSPOSE('Trésorerie année 3'!B18:M18)+TRANSPOSE('Trésorerie année 3'!B19:M19)+TRANSPOSE('Trésorerie année 3'!B20:M20)+TRANSPOSE('Trésorerie année 3'!B22:M22)+TRANSPOSE('Trésorerie année 3'!B21:M21)+TRANSPOSE('Trésorerie année 3'!B26:M26)</f>
        <v>9095.2409625000037</v>
      </c>
      <c r="G13" s="21">
        <f>D13-F13</f>
        <v>11906.557162500001</v>
      </c>
    </row>
    <row r="14" spans="1:7">
      <c r="B14" s="2" t="s">
        <v>27</v>
      </c>
      <c r="C14" s="22">
        <f t="shared" ref="C14:C24" si="0">$C$10</f>
        <v>198999.41142410677</v>
      </c>
      <c r="D14" s="19">
        <v>20001.712500000005</v>
      </c>
      <c r="E14" s="19">
        <f>D14+E13</f>
        <v>41003.51062500001</v>
      </c>
      <c r="F14" s="19">
        <v>8662.1342500000028</v>
      </c>
      <c r="G14" s="23">
        <f t="shared" ref="G14:G24" si="1">D14-F14</f>
        <v>11339.578250000002</v>
      </c>
    </row>
    <row r="15" spans="1:7">
      <c r="B15" s="2" t="s">
        <v>28</v>
      </c>
      <c r="C15" s="22">
        <f t="shared" si="0"/>
        <v>198999.41142410677</v>
      </c>
      <c r="D15" s="19">
        <v>23001.969375000004</v>
      </c>
      <c r="E15" s="19">
        <f t="shared" ref="E15:E24" si="2">D15+E14</f>
        <v>64005.48000000001</v>
      </c>
      <c r="F15" s="19">
        <v>9961.4543875000018</v>
      </c>
      <c r="G15" s="23">
        <f t="shared" si="1"/>
        <v>13040.514987500002</v>
      </c>
    </row>
    <row r="16" spans="1:7">
      <c r="B16" s="2" t="s">
        <v>29</v>
      </c>
      <c r="C16" s="22">
        <f t="shared" si="0"/>
        <v>198999.41142410677</v>
      </c>
      <c r="D16" s="19">
        <v>22001.883750000005</v>
      </c>
      <c r="E16" s="19">
        <f t="shared" si="2"/>
        <v>86007.363750000019</v>
      </c>
      <c r="F16" s="19">
        <v>9528.3476750000009</v>
      </c>
      <c r="G16" s="23">
        <f t="shared" si="1"/>
        <v>12473.536075000004</v>
      </c>
    </row>
    <row r="17" spans="2:7">
      <c r="B17" s="2" t="s">
        <v>30</v>
      </c>
      <c r="C17" s="22">
        <f t="shared" si="0"/>
        <v>198999.41142410677</v>
      </c>
      <c r="D17" s="19">
        <v>21001.798125000005</v>
      </c>
      <c r="E17" s="19">
        <f t="shared" si="2"/>
        <v>107009.16187500002</v>
      </c>
      <c r="F17" s="19">
        <v>9095.2409625000037</v>
      </c>
      <c r="G17" s="23">
        <f t="shared" si="1"/>
        <v>11906.557162500001</v>
      </c>
    </row>
    <row r="18" spans="2:7">
      <c r="B18" s="2" t="s">
        <v>31</v>
      </c>
      <c r="C18" s="22">
        <f t="shared" si="0"/>
        <v>198999.41142410677</v>
      </c>
      <c r="D18" s="19">
        <v>22001.883750000005</v>
      </c>
      <c r="E18" s="19">
        <f t="shared" si="2"/>
        <v>129011.04562500003</v>
      </c>
      <c r="F18" s="19">
        <v>9528.3476750000009</v>
      </c>
      <c r="G18" s="23">
        <f t="shared" si="1"/>
        <v>12473.536075000004</v>
      </c>
    </row>
    <row r="19" spans="2:7">
      <c r="B19" s="2" t="s">
        <v>32</v>
      </c>
      <c r="C19" s="22">
        <f t="shared" si="0"/>
        <v>198999.41142410677</v>
      </c>
      <c r="D19" s="19">
        <v>22001.883750000005</v>
      </c>
      <c r="E19" s="19">
        <f t="shared" si="2"/>
        <v>151012.92937500004</v>
      </c>
      <c r="F19" s="19">
        <v>9528.3476750000009</v>
      </c>
      <c r="G19" s="23">
        <f t="shared" si="1"/>
        <v>12473.536075000004</v>
      </c>
    </row>
    <row r="20" spans="2:7">
      <c r="B20" s="2" t="s">
        <v>33</v>
      </c>
      <c r="C20" s="22">
        <f t="shared" si="0"/>
        <v>198999.41142410677</v>
      </c>
      <c r="D20" s="19">
        <v>22001.883750000005</v>
      </c>
      <c r="E20" s="19">
        <f t="shared" si="2"/>
        <v>173014.81312500004</v>
      </c>
      <c r="F20" s="19">
        <v>9528.3476750000009</v>
      </c>
      <c r="G20" s="23">
        <f t="shared" si="1"/>
        <v>12473.536075000004</v>
      </c>
    </row>
    <row r="21" spans="2:7">
      <c r="B21" s="2" t="s">
        <v>34</v>
      </c>
      <c r="C21" s="22">
        <f t="shared" si="0"/>
        <v>198999.41142410677</v>
      </c>
      <c r="D21" s="19">
        <v>22001.883750000005</v>
      </c>
      <c r="E21" s="19">
        <f t="shared" si="2"/>
        <v>195016.69687500005</v>
      </c>
      <c r="F21" s="19">
        <v>9528.3476750000009</v>
      </c>
      <c r="G21" s="23">
        <f t="shared" si="1"/>
        <v>12473.536075000004</v>
      </c>
    </row>
    <row r="22" spans="2:7">
      <c r="B22" s="2" t="s">
        <v>35</v>
      </c>
      <c r="C22" s="22">
        <f t="shared" si="0"/>
        <v>198999.41142410677</v>
      </c>
      <c r="D22" s="19">
        <v>21001.798125000005</v>
      </c>
      <c r="E22" s="19">
        <f t="shared" si="2"/>
        <v>216018.49500000005</v>
      </c>
      <c r="F22" s="19">
        <v>9095.2409625000037</v>
      </c>
      <c r="G22" s="23">
        <f t="shared" si="1"/>
        <v>11906.557162500001</v>
      </c>
    </row>
    <row r="23" spans="2:7">
      <c r="B23" s="2" t="s">
        <v>36</v>
      </c>
      <c r="C23" s="22">
        <f t="shared" si="0"/>
        <v>198999.41142410677</v>
      </c>
      <c r="D23" s="19">
        <v>22001.883750000005</v>
      </c>
      <c r="E23" s="19">
        <f t="shared" si="2"/>
        <v>238020.37875000006</v>
      </c>
      <c r="F23" s="19">
        <v>9528.3476750000009</v>
      </c>
      <c r="G23" s="23">
        <f t="shared" si="1"/>
        <v>12473.536075000004</v>
      </c>
    </row>
    <row r="24" spans="2:7">
      <c r="B24" s="2" t="s">
        <v>37</v>
      </c>
      <c r="C24" s="24">
        <f t="shared" si="0"/>
        <v>198999.41142410677</v>
      </c>
      <c r="D24" s="20">
        <v>23001.969375000004</v>
      </c>
      <c r="E24" s="20">
        <f t="shared" si="2"/>
        <v>261022.34812500008</v>
      </c>
      <c r="F24" s="20">
        <v>9961.4543875000018</v>
      </c>
      <c r="G24" s="25">
        <f t="shared" si="1"/>
        <v>13040.514987500002</v>
      </c>
    </row>
  </sheetData>
  <mergeCells count="1">
    <mergeCell ref="D4:D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D436F-D27B-4E68-9A4E-4208DB5E1C3C}">
  <dimension ref="B1:F29"/>
  <sheetViews>
    <sheetView topLeftCell="A9" workbookViewId="0">
      <selection activeCell="D15" sqref="D15"/>
    </sheetView>
  </sheetViews>
  <sheetFormatPr baseColWidth="10" defaultRowHeight="14.4"/>
  <cols>
    <col min="1" max="1" width="5.109375" customWidth="1"/>
    <col min="2" max="2" width="60.5546875" customWidth="1"/>
    <col min="3" max="4" width="13.109375" customWidth="1"/>
    <col min="5" max="5" width="14.21875" customWidth="1"/>
    <col min="6" max="6" width="15" bestFit="1" customWidth="1"/>
  </cols>
  <sheetData>
    <row r="1" spans="2:6" ht="15" thickBot="1"/>
    <row r="2" spans="2:6" ht="14.4" customHeight="1">
      <c r="B2" s="289" t="s">
        <v>340</v>
      </c>
      <c r="C2" s="290"/>
      <c r="D2" s="290"/>
      <c r="E2" s="290"/>
      <c r="F2" s="291"/>
    </row>
    <row r="3" spans="2:6" ht="14.4" customHeight="1" thickBot="1">
      <c r="B3" s="292"/>
      <c r="C3" s="293"/>
      <c r="D3" s="293"/>
      <c r="E3" s="293"/>
      <c r="F3" s="294"/>
    </row>
    <row r="5" spans="2:6" ht="18">
      <c r="B5" s="123" t="s">
        <v>336</v>
      </c>
      <c r="C5" s="123" t="s">
        <v>333</v>
      </c>
      <c r="D5" s="123" t="s">
        <v>337</v>
      </c>
      <c r="E5" s="123" t="s">
        <v>334</v>
      </c>
      <c r="F5" s="123" t="s">
        <v>335</v>
      </c>
    </row>
    <row r="6" spans="2:6" ht="28.8">
      <c r="B6" s="136" t="s">
        <v>341</v>
      </c>
      <c r="C6" s="137">
        <v>1</v>
      </c>
      <c r="D6" s="11">
        <v>10000</v>
      </c>
      <c r="E6" s="11">
        <f>D6*1.2</f>
        <v>12000</v>
      </c>
      <c r="F6" s="11">
        <f>C6*E6</f>
        <v>12000</v>
      </c>
    </row>
    <row r="7" spans="2:6" ht="28.8">
      <c r="B7" s="136" t="s">
        <v>342</v>
      </c>
      <c r="C7" s="137">
        <v>1</v>
      </c>
      <c r="D7" s="11">
        <v>5415</v>
      </c>
      <c r="E7" s="11">
        <f t="shared" ref="E7:E28" si="0">D7*1.2</f>
        <v>6498</v>
      </c>
      <c r="F7" s="11">
        <f t="shared" ref="F7:F25" si="1">C7*E7</f>
        <v>6498</v>
      </c>
    </row>
    <row r="8" spans="2:6" ht="28.8">
      <c r="B8" s="136" t="s">
        <v>486</v>
      </c>
      <c r="C8" s="137">
        <v>1</v>
      </c>
      <c r="D8" s="11">
        <v>7500</v>
      </c>
      <c r="E8" s="11">
        <f t="shared" si="0"/>
        <v>9000</v>
      </c>
      <c r="F8" s="11">
        <f t="shared" si="1"/>
        <v>9000</v>
      </c>
    </row>
    <row r="9" spans="2:6" ht="28.8">
      <c r="B9" s="136" t="s">
        <v>343</v>
      </c>
      <c r="C9" s="137">
        <v>1</v>
      </c>
      <c r="D9" s="11">
        <v>5000</v>
      </c>
      <c r="E9" s="11">
        <f t="shared" si="0"/>
        <v>6000</v>
      </c>
      <c r="F9" s="11">
        <f t="shared" si="1"/>
        <v>6000</v>
      </c>
    </row>
    <row r="10" spans="2:6">
      <c r="B10" s="2" t="s">
        <v>350</v>
      </c>
      <c r="C10" s="137">
        <v>1</v>
      </c>
      <c r="D10" s="11">
        <v>2500</v>
      </c>
      <c r="E10" s="11">
        <f t="shared" si="0"/>
        <v>3000</v>
      </c>
      <c r="F10" s="11">
        <f t="shared" si="1"/>
        <v>3000</v>
      </c>
    </row>
    <row r="11" spans="2:6">
      <c r="B11" s="2" t="s">
        <v>359</v>
      </c>
      <c r="C11" s="137">
        <v>1</v>
      </c>
      <c r="D11" s="11">
        <v>3000</v>
      </c>
      <c r="E11" s="11">
        <f t="shared" si="0"/>
        <v>3600</v>
      </c>
      <c r="F11" s="11">
        <f t="shared" ref="F11" si="2">C11*E11</f>
        <v>3600</v>
      </c>
    </row>
    <row r="12" spans="2:6">
      <c r="B12" s="2" t="s">
        <v>358</v>
      </c>
      <c r="C12" s="137">
        <v>1</v>
      </c>
      <c r="D12" s="11">
        <v>54</v>
      </c>
      <c r="E12" s="11">
        <f t="shared" si="0"/>
        <v>64.8</v>
      </c>
      <c r="F12" s="11">
        <f t="shared" ref="F12:F16" si="3">C12*E12</f>
        <v>64.8</v>
      </c>
    </row>
    <row r="13" spans="2:6">
      <c r="B13" s="2" t="s">
        <v>357</v>
      </c>
      <c r="C13" s="137">
        <v>2</v>
      </c>
      <c r="D13" s="11">
        <v>6.5</v>
      </c>
      <c r="E13" s="11">
        <f t="shared" si="0"/>
        <v>7.8</v>
      </c>
      <c r="F13" s="11">
        <f t="shared" si="3"/>
        <v>15.6</v>
      </c>
    </row>
    <row r="14" spans="2:6">
      <c r="B14" s="2" t="s">
        <v>353</v>
      </c>
      <c r="C14" s="137">
        <v>2</v>
      </c>
      <c r="D14" s="11">
        <v>35</v>
      </c>
      <c r="E14" s="11">
        <f t="shared" si="0"/>
        <v>42</v>
      </c>
      <c r="F14" s="11">
        <f t="shared" si="3"/>
        <v>84</v>
      </c>
    </row>
    <row r="15" spans="2:6">
      <c r="B15" s="2" t="s">
        <v>352</v>
      </c>
      <c r="C15" s="137">
        <v>1</v>
      </c>
      <c r="D15" s="11">
        <v>50</v>
      </c>
      <c r="E15" s="11">
        <f t="shared" si="0"/>
        <v>60</v>
      </c>
      <c r="F15" s="11">
        <f t="shared" si="3"/>
        <v>60</v>
      </c>
    </row>
    <row r="16" spans="2:6">
      <c r="B16" s="2" t="s">
        <v>354</v>
      </c>
      <c r="C16" s="137">
        <v>1</v>
      </c>
      <c r="D16" s="11">
        <v>93</v>
      </c>
      <c r="E16" s="11">
        <f t="shared" si="0"/>
        <v>111.6</v>
      </c>
      <c r="F16" s="11">
        <f t="shared" si="3"/>
        <v>111.6</v>
      </c>
    </row>
    <row r="17" spans="2:6">
      <c r="B17" s="2" t="s">
        <v>351</v>
      </c>
      <c r="C17" s="137">
        <v>1</v>
      </c>
      <c r="D17" s="11">
        <v>120</v>
      </c>
      <c r="E17" s="11">
        <f t="shared" si="0"/>
        <v>144</v>
      </c>
      <c r="F17" s="11">
        <f t="shared" si="1"/>
        <v>144</v>
      </c>
    </row>
    <row r="18" spans="2:6">
      <c r="B18" s="2" t="s">
        <v>346</v>
      </c>
      <c r="C18" s="137">
        <v>1</v>
      </c>
      <c r="D18" s="11">
        <v>150</v>
      </c>
      <c r="E18" s="11">
        <f t="shared" si="0"/>
        <v>180</v>
      </c>
      <c r="F18" s="11">
        <f t="shared" si="1"/>
        <v>180</v>
      </c>
    </row>
    <row r="19" spans="2:6">
      <c r="B19" s="2" t="s">
        <v>345</v>
      </c>
      <c r="C19" s="137">
        <v>1</v>
      </c>
      <c r="D19" s="11">
        <v>1000</v>
      </c>
      <c r="E19" s="11">
        <f t="shared" si="0"/>
        <v>1200</v>
      </c>
      <c r="F19" s="11">
        <f t="shared" si="1"/>
        <v>1200</v>
      </c>
    </row>
    <row r="20" spans="2:6">
      <c r="B20" s="2" t="s">
        <v>344</v>
      </c>
      <c r="C20" s="137">
        <v>15</v>
      </c>
      <c r="D20" s="11">
        <v>14</v>
      </c>
      <c r="E20" s="11">
        <f t="shared" si="0"/>
        <v>16.8</v>
      </c>
      <c r="F20" s="11">
        <f t="shared" si="1"/>
        <v>252</v>
      </c>
    </row>
    <row r="21" spans="2:6">
      <c r="B21" s="2" t="s">
        <v>347</v>
      </c>
      <c r="C21" s="137">
        <v>1</v>
      </c>
      <c r="D21" s="11">
        <v>20</v>
      </c>
      <c r="E21" s="11">
        <f t="shared" si="0"/>
        <v>24</v>
      </c>
      <c r="F21" s="11">
        <f t="shared" si="1"/>
        <v>24</v>
      </c>
    </row>
    <row r="22" spans="2:6">
      <c r="B22" s="2" t="s">
        <v>355</v>
      </c>
      <c r="C22" s="137">
        <v>1</v>
      </c>
      <c r="D22" s="11">
        <v>7</v>
      </c>
      <c r="E22" s="11">
        <f t="shared" si="0"/>
        <v>8.4</v>
      </c>
      <c r="F22" s="11">
        <f t="shared" si="1"/>
        <v>8.4</v>
      </c>
    </row>
    <row r="23" spans="2:6">
      <c r="B23" s="2" t="s">
        <v>356</v>
      </c>
      <c r="C23" s="137">
        <v>1</v>
      </c>
      <c r="D23" s="11">
        <v>10</v>
      </c>
      <c r="E23" s="11">
        <f t="shared" si="0"/>
        <v>12</v>
      </c>
      <c r="F23" s="11">
        <f t="shared" si="1"/>
        <v>12</v>
      </c>
    </row>
    <row r="24" spans="2:6">
      <c r="B24" s="2" t="s">
        <v>349</v>
      </c>
      <c r="C24" s="137">
        <v>1</v>
      </c>
      <c r="D24" s="11">
        <v>2000</v>
      </c>
      <c r="E24" s="11">
        <f t="shared" si="0"/>
        <v>2400</v>
      </c>
      <c r="F24" s="11">
        <f t="shared" si="1"/>
        <v>2400</v>
      </c>
    </row>
    <row r="25" spans="2:6">
      <c r="B25" s="2" t="s">
        <v>348</v>
      </c>
      <c r="C25" s="137">
        <v>1</v>
      </c>
      <c r="D25" s="11">
        <v>100</v>
      </c>
      <c r="E25" s="11">
        <f t="shared" si="0"/>
        <v>120</v>
      </c>
      <c r="F25" s="11">
        <f t="shared" si="1"/>
        <v>120</v>
      </c>
    </row>
    <row r="26" spans="2:6">
      <c r="B26" s="2" t="s">
        <v>360</v>
      </c>
      <c r="C26" s="137">
        <v>1</v>
      </c>
      <c r="D26" s="11">
        <v>50</v>
      </c>
      <c r="E26" s="11">
        <f t="shared" si="0"/>
        <v>60</v>
      </c>
      <c r="F26" s="11">
        <f t="shared" ref="F26:F28" si="4">C26*E26</f>
        <v>60</v>
      </c>
    </row>
    <row r="27" spans="2:6">
      <c r="B27" s="2" t="s">
        <v>361</v>
      </c>
      <c r="C27" s="137">
        <v>3</v>
      </c>
      <c r="D27" s="11">
        <v>50</v>
      </c>
      <c r="E27" s="11">
        <f t="shared" si="0"/>
        <v>60</v>
      </c>
      <c r="F27" s="11">
        <f t="shared" si="4"/>
        <v>180</v>
      </c>
    </row>
    <row r="28" spans="2:6">
      <c r="B28" s="2" t="s">
        <v>362</v>
      </c>
      <c r="C28" s="137">
        <v>6</v>
      </c>
      <c r="D28" s="11">
        <v>10</v>
      </c>
      <c r="E28" s="11">
        <f t="shared" si="0"/>
        <v>12</v>
      </c>
      <c r="F28" s="11">
        <f t="shared" si="4"/>
        <v>72</v>
      </c>
    </row>
    <row r="29" spans="2:6" ht="18">
      <c r="E29" s="124" t="s">
        <v>38</v>
      </c>
      <c r="F29" s="138">
        <f>SUM(F6:F28)</f>
        <v>45086.400000000001</v>
      </c>
    </row>
  </sheetData>
  <mergeCells count="1">
    <mergeCell ref="B2:F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59F2C-5A30-46C2-8CB1-D05D70CC6C67}">
  <dimension ref="A3:A5"/>
  <sheetViews>
    <sheetView workbookViewId="0">
      <selection activeCell="A6" sqref="A6"/>
    </sheetView>
  </sheetViews>
  <sheetFormatPr baseColWidth="10" defaultRowHeight="14.4"/>
  <sheetData>
    <row r="3" spans="1:1">
      <c r="A3" t="str">
        <f>'Seuil de rentabilité AN1'!A1&amp;" "&amp;'Seuil de rentabilité AN1'!C1</f>
        <v>Seuil de rentabilité FT PIZZA 2025</v>
      </c>
    </row>
    <row r="4" spans="1:1">
      <c r="A4" t="str">
        <f>'Seuil de rentabilité AN2'!A1&amp;" "&amp;'Seuil de rentabilité AN2'!C1</f>
        <v>Seuil de rentabilité FT PIZZA 2026</v>
      </c>
    </row>
    <row r="5" spans="1:1">
      <c r="A5" t="str">
        <f>'Seuil de rentabilité AN3'!A1&amp;" "&amp;'Seuil de rentabilité AN3'!C1</f>
        <v>Seuil de rentabilité FT PIZZA 2027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15</vt:i4>
      </vt:variant>
    </vt:vector>
  </HeadingPairs>
  <TitlesOfParts>
    <vt:vector size="15" baseType="lpstr">
      <vt:lpstr>Paramètres</vt:lpstr>
      <vt:lpstr>Trésorerie année 1</vt:lpstr>
      <vt:lpstr>Trésorerie année 2</vt:lpstr>
      <vt:lpstr>Trésorerie année 3</vt:lpstr>
      <vt:lpstr>CR pluriannuel </vt:lpstr>
      <vt:lpstr>Bilan année 1</vt:lpstr>
      <vt:lpstr>Bilan année 2</vt:lpstr>
      <vt:lpstr>Bilan année 3</vt:lpstr>
      <vt:lpstr>Plan de financement initial</vt:lpstr>
      <vt:lpstr>Emprunt</vt:lpstr>
      <vt:lpstr>Seuil de rentabilité AN1</vt:lpstr>
      <vt:lpstr>Seuil de rentabilité AN2</vt:lpstr>
      <vt:lpstr>Seuil de rentabilité AN3</vt:lpstr>
      <vt:lpstr>Liste matériel pizza FT</vt:lpstr>
      <vt:lpstr>Feuil7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Romain Pelletier</dc:creator>
  <cp:lastModifiedBy>Romain Pelletier</cp:lastModifiedBy>
  <dcterms:created xsi:type="dcterms:W3CDTF">2025-07-29T18:48:01Z</dcterms:created>
  <dcterms:modified xsi:type="dcterms:W3CDTF">2026-02-07T00:31:46Z</dcterms:modified>
</cp:coreProperties>
</file>